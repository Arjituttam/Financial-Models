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JIT\Downloads\"/>
    </mc:Choice>
  </mc:AlternateContent>
  <xr:revisionPtr revIDLastSave="0" documentId="8_{E0DDA981-DC0A-49F1-83D7-6A5F476C6D0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32" r:id="rId1"/>
    <sheet name="Assumptions" sheetId="33" r:id="rId2"/>
    <sheet name="DCF&gt;" sheetId="7" r:id="rId3"/>
    <sheet name="WACC" sheetId="24" r:id="rId4"/>
    <sheet name="Data&gt;" sheetId="9" r:id="rId5"/>
    <sheet name="Beta Regression" sheetId="26" r:id="rId6"/>
    <sheet name="Beta Comps" sheetId="27" r:id="rId7"/>
    <sheet name="Rm" sheetId="28" r:id="rId8"/>
    <sheet name="Intrinsic Growth" sheetId="29" r:id="rId9"/>
    <sheet name="DCF" sheetId="31" r:id="rId10"/>
    <sheet name="Data Room&gt;" sheetId="25" r:id="rId11"/>
    <sheet name="Data Sheet" sheetId="6" r:id="rId12"/>
    <sheet name="HistoricalFS" sheetId="18" r:id="rId13"/>
    <sheet name="Raw FS" sheetId="30" r:id="rId14"/>
    <sheet name="Cash Flow Data" sheetId="19" r:id="rId15"/>
  </sheets>
  <definedNames>
    <definedName name="_xlnm._FilterDatabase" localSheetId="5" hidden="1">'Beta Regression'!$B$6:$C$6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3" l="1"/>
  <c r="C21" i="33"/>
  <c r="C20" i="33"/>
  <c r="F5" i="31"/>
  <c r="C15" i="33"/>
  <c r="C14" i="33"/>
  <c r="C13" i="33"/>
  <c r="C8" i="33"/>
  <c r="C7" i="33"/>
  <c r="E31" i="24"/>
  <c r="E12" i="32"/>
  <c r="D38" i="31" l="1"/>
  <c r="D36" i="31"/>
  <c r="D35" i="31"/>
  <c r="D24" i="31"/>
  <c r="D26" i="31" s="1"/>
  <c r="E11" i="32" s="1"/>
  <c r="G10" i="31"/>
  <c r="H10" i="31" s="1"/>
  <c r="I10" i="31" s="1"/>
  <c r="J10" i="31" s="1"/>
  <c r="D17" i="31"/>
  <c r="J11" i="31" s="1"/>
  <c r="D15" i="31"/>
  <c r="E8" i="31"/>
  <c r="F8" i="31" s="1"/>
  <c r="G8" i="31" s="1"/>
  <c r="H8" i="31" s="1"/>
  <c r="I8" i="31" s="1"/>
  <c r="J8" i="31" s="1"/>
  <c r="F6" i="31"/>
  <c r="G6" i="31" s="1"/>
  <c r="H6" i="31" s="1"/>
  <c r="I6" i="31" s="1"/>
  <c r="J6" i="31" s="1"/>
  <c r="E5" i="31"/>
  <c r="E7" i="31" s="1"/>
  <c r="E9" i="31" s="1"/>
  <c r="E3" i="31"/>
  <c r="F3" i="31" s="1"/>
  <c r="G3" i="31" s="1"/>
  <c r="H3" i="31" s="1"/>
  <c r="I3" i="31" s="1"/>
  <c r="J3" i="31" s="1"/>
  <c r="K63" i="29"/>
  <c r="K62" i="29"/>
  <c r="K60" i="29"/>
  <c r="J60" i="29"/>
  <c r="I60" i="29"/>
  <c r="H60" i="29"/>
  <c r="K58" i="29"/>
  <c r="J58" i="29"/>
  <c r="I58" i="29"/>
  <c r="H58" i="29"/>
  <c r="K57" i="29"/>
  <c r="J57" i="29"/>
  <c r="I57" i="29"/>
  <c r="H57" i="29"/>
  <c r="K55" i="29"/>
  <c r="J55" i="29"/>
  <c r="I55" i="29"/>
  <c r="H55" i="29"/>
  <c r="G55" i="29"/>
  <c r="K41" i="29"/>
  <c r="J41" i="29"/>
  <c r="I41" i="29"/>
  <c r="H41" i="29"/>
  <c r="G41" i="29"/>
  <c r="K34" i="29"/>
  <c r="J34" i="29"/>
  <c r="J44" i="29" s="1"/>
  <c r="J46" i="29" s="1"/>
  <c r="I34" i="29"/>
  <c r="H34" i="29"/>
  <c r="H44" i="29" s="1"/>
  <c r="H46" i="29" s="1"/>
  <c r="G34" i="29"/>
  <c r="G44" i="29" s="1"/>
  <c r="G46" i="29" s="1"/>
  <c r="K30" i="29"/>
  <c r="J30" i="29"/>
  <c r="I30" i="29"/>
  <c r="H30" i="29"/>
  <c r="G30" i="29"/>
  <c r="K27" i="29"/>
  <c r="J27" i="29"/>
  <c r="I27" i="29"/>
  <c r="H27" i="29"/>
  <c r="G27" i="29"/>
  <c r="K26" i="29"/>
  <c r="J26" i="29"/>
  <c r="I26" i="29"/>
  <c r="H26" i="29"/>
  <c r="G26" i="29"/>
  <c r="K25" i="29"/>
  <c r="J25" i="29"/>
  <c r="I25" i="29"/>
  <c r="H25" i="29"/>
  <c r="G25" i="29"/>
  <c r="K24" i="29"/>
  <c r="J24" i="29"/>
  <c r="I24" i="29"/>
  <c r="H24" i="29"/>
  <c r="G24" i="29"/>
  <c r="K23" i="29"/>
  <c r="J23" i="29"/>
  <c r="I23" i="29"/>
  <c r="H23" i="29"/>
  <c r="G23" i="29"/>
  <c r="K22" i="29"/>
  <c r="J22" i="29"/>
  <c r="I22" i="29"/>
  <c r="H22" i="29"/>
  <c r="G22" i="29"/>
  <c r="K21" i="29"/>
  <c r="J21" i="29"/>
  <c r="I21" i="29"/>
  <c r="H21" i="29"/>
  <c r="G21" i="29"/>
  <c r="K20" i="29"/>
  <c r="J20" i="29"/>
  <c r="I20" i="29"/>
  <c r="H20" i="29"/>
  <c r="G20" i="29"/>
  <c r="K19" i="29"/>
  <c r="J19" i="29"/>
  <c r="I19" i="29"/>
  <c r="H19" i="29"/>
  <c r="G19" i="29"/>
  <c r="B27" i="29"/>
  <c r="B26" i="29"/>
  <c r="B25" i="29"/>
  <c r="B24" i="29"/>
  <c r="B23" i="29"/>
  <c r="B22" i="29"/>
  <c r="B21" i="29"/>
  <c r="B20" i="29"/>
  <c r="B19" i="29"/>
  <c r="B5" i="29"/>
  <c r="G5" i="29"/>
  <c r="H5" i="29"/>
  <c r="I5" i="29"/>
  <c r="J5" i="29"/>
  <c r="K5" i="29"/>
  <c r="B6" i="29"/>
  <c r="G6" i="29"/>
  <c r="H6" i="29"/>
  <c r="I6" i="29"/>
  <c r="J6" i="29"/>
  <c r="K6" i="29"/>
  <c r="B7" i="29"/>
  <c r="G7" i="29"/>
  <c r="H7" i="29"/>
  <c r="I7" i="29"/>
  <c r="J7" i="29"/>
  <c r="K7" i="29"/>
  <c r="K13" i="29"/>
  <c r="J13" i="29"/>
  <c r="I13" i="29"/>
  <c r="H13" i="29"/>
  <c r="G13" i="29"/>
  <c r="K12" i="29"/>
  <c r="J12" i="29"/>
  <c r="I12" i="29"/>
  <c r="H12" i="29"/>
  <c r="G12" i="29"/>
  <c r="K11" i="29"/>
  <c r="J11" i="29"/>
  <c r="I11" i="29"/>
  <c r="H11" i="29"/>
  <c r="G11" i="29"/>
  <c r="B13" i="29"/>
  <c r="B12" i="29"/>
  <c r="B11" i="29"/>
  <c r="K2" i="29"/>
  <c r="K39" i="29" s="1"/>
  <c r="J2" i="29"/>
  <c r="J39" i="29" s="1"/>
  <c r="I2" i="29"/>
  <c r="I39" i="29" s="1"/>
  <c r="H2" i="29"/>
  <c r="H39" i="29" s="1"/>
  <c r="G2" i="29"/>
  <c r="G39" i="29" s="1"/>
  <c r="C41" i="30"/>
  <c r="N41" i="30"/>
  <c r="M41" i="30"/>
  <c r="L41" i="30"/>
  <c r="K41" i="30"/>
  <c r="J41" i="30"/>
  <c r="I41" i="30"/>
  <c r="H41" i="30"/>
  <c r="G41" i="30"/>
  <c r="F41" i="30"/>
  <c r="E41" i="30"/>
  <c r="D41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D23" i="31" l="1"/>
  <c r="F11" i="31"/>
  <c r="G11" i="31"/>
  <c r="H11" i="31"/>
  <c r="I11" i="31"/>
  <c r="F7" i="31"/>
  <c r="G29" i="29"/>
  <c r="G31" i="29" s="1"/>
  <c r="K29" i="29"/>
  <c r="K31" i="29" s="1"/>
  <c r="H29" i="29"/>
  <c r="H31" i="29" s="1"/>
  <c r="J29" i="29"/>
  <c r="J31" i="29" s="1"/>
  <c r="I29" i="29"/>
  <c r="I31" i="29" s="1"/>
  <c r="I44" i="29"/>
  <c r="I46" i="29" s="1"/>
  <c r="K44" i="29"/>
  <c r="K46" i="29" s="1"/>
  <c r="H14" i="29"/>
  <c r="G8" i="29"/>
  <c r="I14" i="29"/>
  <c r="G14" i="29"/>
  <c r="G16" i="29" s="1"/>
  <c r="G33" i="29" s="1"/>
  <c r="G36" i="29" s="1"/>
  <c r="J8" i="29"/>
  <c r="H8" i="29"/>
  <c r="J14" i="29"/>
  <c r="K8" i="29"/>
  <c r="I8" i="29"/>
  <c r="K14" i="29"/>
  <c r="E22" i="24"/>
  <c r="K30" i="24"/>
  <c r="K24" i="24"/>
  <c r="K33" i="24"/>
  <c r="K25" i="24"/>
  <c r="K23" i="24"/>
  <c r="G7" i="28"/>
  <c r="G5" i="28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M5" i="26" s="1"/>
  <c r="F14" i="24"/>
  <c r="F13" i="24"/>
  <c r="F12" i="24"/>
  <c r="F11" i="24"/>
  <c r="F10" i="24"/>
  <c r="E14" i="24"/>
  <c r="E13" i="24"/>
  <c r="E12" i="24"/>
  <c r="E11" i="24"/>
  <c r="E10" i="24"/>
  <c r="M7" i="26"/>
  <c r="J6" i="26" s="1"/>
  <c r="J12" i="26" s="1"/>
  <c r="G5" i="31" l="1"/>
  <c r="F9" i="31"/>
  <c r="F13" i="31" s="1"/>
  <c r="I16" i="29"/>
  <c r="H16" i="29"/>
  <c r="J16" i="29"/>
  <c r="K16" i="29"/>
  <c r="M4" i="26"/>
  <c r="H5" i="31" l="1"/>
  <c r="G7" i="31"/>
  <c r="G9" i="31" s="1"/>
  <c r="G13" i="31" s="1"/>
  <c r="K42" i="29"/>
  <c r="K48" i="29" s="1"/>
  <c r="K50" i="29" s="1"/>
  <c r="K33" i="29"/>
  <c r="K36" i="29" s="1"/>
  <c r="J33" i="29"/>
  <c r="J36" i="29" s="1"/>
  <c r="J42" i="29"/>
  <c r="J48" i="29" s="1"/>
  <c r="J50" i="29" s="1"/>
  <c r="H33" i="29"/>
  <c r="H36" i="29" s="1"/>
  <c r="H42" i="29"/>
  <c r="H48" i="29" s="1"/>
  <c r="H50" i="29" s="1"/>
  <c r="I42" i="29"/>
  <c r="I48" i="29" s="1"/>
  <c r="I50" i="29" s="1"/>
  <c r="I33" i="29"/>
  <c r="I36" i="29" s="1"/>
  <c r="I5" i="31" l="1"/>
  <c r="H7" i="31"/>
  <c r="H9" i="31" s="1"/>
  <c r="H13" i="31" s="1"/>
  <c r="K53" i="29"/>
  <c r="K52" i="29"/>
  <c r="G8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J5" i="31" l="1"/>
  <c r="J7" i="31" s="1"/>
  <c r="J9" i="31" s="1"/>
  <c r="I7" i="31"/>
  <c r="I9" i="31" s="1"/>
  <c r="I13" i="31" s="1"/>
  <c r="C32" i="24"/>
  <c r="C31" i="24"/>
  <c r="K32" i="24"/>
  <c r="E24" i="24"/>
  <c r="K40" i="24" s="1"/>
  <c r="E23" i="24"/>
  <c r="J17" i="24"/>
  <c r="G17" i="24"/>
  <c r="J16" i="24"/>
  <c r="G16" i="24"/>
  <c r="I14" i="24"/>
  <c r="I13" i="24"/>
  <c r="I12" i="24"/>
  <c r="I11" i="24"/>
  <c r="I10" i="24"/>
  <c r="I17" i="24" s="1"/>
  <c r="H14" i="24"/>
  <c r="K14" i="24" s="1"/>
  <c r="H13" i="24"/>
  <c r="K13" i="24" s="1"/>
  <c r="H12" i="24"/>
  <c r="K12" i="24" s="1"/>
  <c r="H11" i="24"/>
  <c r="K11" i="24" s="1"/>
  <c r="H10" i="24"/>
  <c r="K10" i="24" s="1"/>
  <c r="D22" i="31" l="1"/>
  <c r="J13" i="31"/>
  <c r="D31" i="31" s="1"/>
  <c r="K17" i="24"/>
  <c r="C33" i="24"/>
  <c r="D33" i="24" s="1"/>
  <c r="E33" i="24" s="1"/>
  <c r="H16" i="24"/>
  <c r="I16" i="24"/>
  <c r="K41" i="24" s="1"/>
  <c r="K16" i="24"/>
  <c r="H17" i="24"/>
  <c r="D31" i="24"/>
  <c r="D32" i="24"/>
  <c r="D32" i="31" l="1"/>
  <c r="E13" i="32" s="1"/>
  <c r="E32" i="24"/>
  <c r="K38" i="24" s="1"/>
  <c r="D35" i="24"/>
  <c r="D33" i="31" l="1"/>
  <c r="F21" i="31" s="1"/>
  <c r="E35" i="24"/>
  <c r="K31" i="24" s="1"/>
  <c r="K37" i="24" s="1"/>
  <c r="K43" i="24" s="1"/>
  <c r="L97" i="18"/>
  <c r="K97" i="18"/>
  <c r="J97" i="18"/>
  <c r="I97" i="18"/>
  <c r="I99" i="18" s="1"/>
  <c r="H97" i="18"/>
  <c r="G97" i="18"/>
  <c r="F97" i="18"/>
  <c r="E97" i="18"/>
  <c r="E99" i="18" s="1"/>
  <c r="D97" i="18"/>
  <c r="D99" i="18" s="1"/>
  <c r="K99" i="18"/>
  <c r="G99" i="18"/>
  <c r="C97" i="18"/>
  <c r="C99" i="18" s="1"/>
  <c r="F99" i="18"/>
  <c r="H99" i="18"/>
  <c r="J99" i="18"/>
  <c r="L99" i="18"/>
  <c r="L96" i="18"/>
  <c r="K96" i="18"/>
  <c r="J96" i="18"/>
  <c r="I96" i="18"/>
  <c r="H96" i="18"/>
  <c r="G96" i="18"/>
  <c r="F96" i="18"/>
  <c r="E96" i="18"/>
  <c r="D96" i="18"/>
  <c r="C96" i="18"/>
  <c r="L95" i="18"/>
  <c r="K95" i="18"/>
  <c r="J95" i="18"/>
  <c r="I95" i="18"/>
  <c r="H95" i="18"/>
  <c r="G95" i="18"/>
  <c r="F95" i="18"/>
  <c r="E95" i="18"/>
  <c r="D95" i="18"/>
  <c r="C95" i="18"/>
  <c r="L94" i="18"/>
  <c r="K94" i="18"/>
  <c r="J94" i="18"/>
  <c r="I94" i="18"/>
  <c r="H94" i="18"/>
  <c r="G94" i="18"/>
  <c r="F94" i="18"/>
  <c r="E94" i="18"/>
  <c r="D94" i="18"/>
  <c r="C94" i="18"/>
  <c r="L93" i="18"/>
  <c r="K93" i="18"/>
  <c r="J93" i="18"/>
  <c r="I93" i="18"/>
  <c r="H93" i="18"/>
  <c r="G93" i="18"/>
  <c r="F93" i="18"/>
  <c r="E93" i="18"/>
  <c r="D93" i="18"/>
  <c r="C93" i="18"/>
  <c r="L92" i="18"/>
  <c r="K92" i="18"/>
  <c r="J92" i="18"/>
  <c r="I92" i="18"/>
  <c r="H92" i="18"/>
  <c r="G92" i="18"/>
  <c r="F92" i="18"/>
  <c r="E92" i="18"/>
  <c r="D92" i="18"/>
  <c r="C92" i="18"/>
  <c r="L88" i="18"/>
  <c r="K88" i="18"/>
  <c r="J88" i="18"/>
  <c r="I88" i="18"/>
  <c r="H88" i="18"/>
  <c r="G88" i="18"/>
  <c r="F88" i="18"/>
  <c r="E88" i="18"/>
  <c r="D88" i="18"/>
  <c r="C88" i="18"/>
  <c r="L87" i="18"/>
  <c r="K87" i="18"/>
  <c r="J87" i="18"/>
  <c r="I87" i="18"/>
  <c r="H87" i="18"/>
  <c r="G87" i="18"/>
  <c r="F87" i="18"/>
  <c r="E87" i="18"/>
  <c r="D87" i="18"/>
  <c r="C87" i="18"/>
  <c r="L86" i="18"/>
  <c r="K86" i="18"/>
  <c r="J86" i="18"/>
  <c r="I86" i="18"/>
  <c r="H86" i="18"/>
  <c r="G86" i="18"/>
  <c r="F86" i="18"/>
  <c r="E86" i="18"/>
  <c r="D86" i="18"/>
  <c r="C86" i="18"/>
  <c r="L85" i="18"/>
  <c r="K85" i="18"/>
  <c r="J85" i="18"/>
  <c r="I85" i="18"/>
  <c r="H85" i="18"/>
  <c r="G85" i="18"/>
  <c r="F85" i="18"/>
  <c r="E85" i="18"/>
  <c r="D85" i="18"/>
  <c r="C85" i="18"/>
  <c r="L84" i="18"/>
  <c r="K84" i="18"/>
  <c r="J84" i="18"/>
  <c r="I84" i="18"/>
  <c r="H84" i="18"/>
  <c r="G84" i="18"/>
  <c r="F84" i="18"/>
  <c r="E84" i="18"/>
  <c r="D84" i="18"/>
  <c r="C84" i="18"/>
  <c r="L83" i="18"/>
  <c r="K83" i="18"/>
  <c r="J83" i="18"/>
  <c r="I83" i="18"/>
  <c r="H83" i="18"/>
  <c r="G83" i="18"/>
  <c r="F83" i="18"/>
  <c r="E83" i="18"/>
  <c r="D83" i="18"/>
  <c r="D89" i="18" s="1"/>
  <c r="C83" i="18"/>
  <c r="L82" i="18"/>
  <c r="K82" i="18"/>
  <c r="J82" i="18"/>
  <c r="I82" i="18"/>
  <c r="H82" i="18"/>
  <c r="G82" i="18"/>
  <c r="F82" i="18"/>
  <c r="E82" i="18"/>
  <c r="D82" i="18"/>
  <c r="C82" i="18"/>
  <c r="L81" i="18"/>
  <c r="K81" i="18"/>
  <c r="J81" i="18"/>
  <c r="I81" i="18"/>
  <c r="H81" i="18"/>
  <c r="G81" i="18"/>
  <c r="F81" i="18"/>
  <c r="E81" i="18"/>
  <c r="D81" i="18"/>
  <c r="C81" i="18"/>
  <c r="L80" i="18"/>
  <c r="K80" i="18"/>
  <c r="J80" i="18"/>
  <c r="J89" i="18" s="1"/>
  <c r="I80" i="18"/>
  <c r="I89" i="18" s="1"/>
  <c r="H80" i="18"/>
  <c r="G80" i="18"/>
  <c r="F80" i="18"/>
  <c r="E80" i="18"/>
  <c r="D80" i="18"/>
  <c r="C80" i="18"/>
  <c r="L76" i="18"/>
  <c r="K76" i="18"/>
  <c r="J76" i="18"/>
  <c r="I76" i="18"/>
  <c r="H76" i="18"/>
  <c r="G76" i="18"/>
  <c r="F76" i="18"/>
  <c r="E76" i="18"/>
  <c r="D76" i="18"/>
  <c r="C76" i="18"/>
  <c r="L75" i="18"/>
  <c r="K75" i="18"/>
  <c r="J75" i="18"/>
  <c r="I75" i="18"/>
  <c r="H75" i="18"/>
  <c r="G75" i="18"/>
  <c r="F75" i="18"/>
  <c r="E75" i="18"/>
  <c r="D75" i="18"/>
  <c r="C75" i="18"/>
  <c r="L74" i="18"/>
  <c r="K74" i="18"/>
  <c r="J74" i="18"/>
  <c r="I74" i="18"/>
  <c r="H74" i="18"/>
  <c r="G74" i="18"/>
  <c r="F74" i="18"/>
  <c r="E74" i="18"/>
  <c r="D74" i="18"/>
  <c r="C74" i="18"/>
  <c r="L73" i="18"/>
  <c r="K73" i="18"/>
  <c r="J73" i="18"/>
  <c r="I73" i="18"/>
  <c r="H73" i="18"/>
  <c r="G73" i="18"/>
  <c r="F73" i="18"/>
  <c r="E73" i="18"/>
  <c r="D73" i="18"/>
  <c r="C73" i="18"/>
  <c r="L72" i="18"/>
  <c r="K72" i="18"/>
  <c r="J72" i="18"/>
  <c r="I72" i="18"/>
  <c r="H72" i="18"/>
  <c r="G72" i="18"/>
  <c r="F72" i="18"/>
  <c r="E72" i="18"/>
  <c r="D72" i="18"/>
  <c r="C72" i="18"/>
  <c r="L71" i="18"/>
  <c r="K71" i="18"/>
  <c r="J71" i="18"/>
  <c r="I71" i="18"/>
  <c r="H71" i="18"/>
  <c r="G71" i="18"/>
  <c r="F71" i="18"/>
  <c r="E71" i="18"/>
  <c r="D71" i="18"/>
  <c r="C71" i="18"/>
  <c r="L70" i="18"/>
  <c r="L77" i="18" s="1"/>
  <c r="K70" i="18"/>
  <c r="J70" i="18"/>
  <c r="I70" i="18"/>
  <c r="I77" i="18" s="1"/>
  <c r="H70" i="18"/>
  <c r="H77" i="18" s="1"/>
  <c r="G70" i="18"/>
  <c r="F70" i="18"/>
  <c r="F77" i="18" s="1"/>
  <c r="E70" i="18"/>
  <c r="D70" i="18"/>
  <c r="C70" i="18"/>
  <c r="N3" i="19"/>
  <c r="M3" i="19"/>
  <c r="L3" i="19"/>
  <c r="K3" i="19"/>
  <c r="J3" i="19"/>
  <c r="I3" i="19"/>
  <c r="H3" i="19"/>
  <c r="G3" i="19"/>
  <c r="F3" i="19"/>
  <c r="E3" i="19"/>
  <c r="D3" i="19"/>
  <c r="C3" i="19"/>
  <c r="M6" i="18"/>
  <c r="D37" i="31" l="1"/>
  <c r="D40" i="31" s="1"/>
  <c r="D43" i="31" s="1"/>
  <c r="L89" i="18"/>
  <c r="C89" i="18"/>
  <c r="K89" i="18"/>
  <c r="E89" i="18"/>
  <c r="F89" i="18"/>
  <c r="E77" i="18"/>
  <c r="G89" i="18"/>
  <c r="H89" i="18"/>
  <c r="G77" i="18"/>
  <c r="J77" i="18"/>
  <c r="K77" i="18"/>
  <c r="D77" i="18"/>
  <c r="C77" i="18"/>
  <c r="B2" i="18"/>
  <c r="K74" i="6"/>
  <c r="J74" i="6"/>
  <c r="I74" i="6"/>
  <c r="H74" i="6"/>
  <c r="G74" i="6"/>
  <c r="F74" i="6"/>
  <c r="E74" i="6"/>
  <c r="D74" i="6"/>
  <c r="C74" i="6"/>
  <c r="B74" i="6"/>
  <c r="K76" i="6"/>
  <c r="J76" i="6"/>
  <c r="I76" i="6"/>
  <c r="H76" i="6"/>
  <c r="G76" i="6"/>
  <c r="F76" i="6"/>
  <c r="E76" i="6"/>
  <c r="D76" i="6"/>
  <c r="C76" i="6"/>
  <c r="B76" i="6"/>
  <c r="E10" i="32" l="1"/>
  <c r="L56" i="18"/>
  <c r="K56" i="18"/>
  <c r="J56" i="18"/>
  <c r="I56" i="18"/>
  <c r="H56" i="18"/>
  <c r="G56" i="18"/>
  <c r="F56" i="18"/>
  <c r="E56" i="18"/>
  <c r="D56" i="18"/>
  <c r="C56" i="18"/>
  <c r="L61" i="18"/>
  <c r="K61" i="18"/>
  <c r="J61" i="18"/>
  <c r="I61" i="18"/>
  <c r="H61" i="18"/>
  <c r="G61" i="18"/>
  <c r="F61" i="18"/>
  <c r="E61" i="18"/>
  <c r="D61" i="18"/>
  <c r="C61" i="18"/>
  <c r="L60" i="18"/>
  <c r="K60" i="18"/>
  <c r="J60" i="18"/>
  <c r="I60" i="18"/>
  <c r="H60" i="18"/>
  <c r="G60" i="18"/>
  <c r="F60" i="18"/>
  <c r="E60" i="18"/>
  <c r="D60" i="18"/>
  <c r="C60" i="18"/>
  <c r="L59" i="18"/>
  <c r="K59" i="18"/>
  <c r="J59" i="18"/>
  <c r="I59" i="18"/>
  <c r="H59" i="18"/>
  <c r="G59" i="18"/>
  <c r="F59" i="18"/>
  <c r="E59" i="18"/>
  <c r="D59" i="18"/>
  <c r="C59" i="18"/>
  <c r="L55" i="18"/>
  <c r="K55" i="18"/>
  <c r="J55" i="18"/>
  <c r="I55" i="18"/>
  <c r="H55" i="18"/>
  <c r="G55" i="18"/>
  <c r="F55" i="18"/>
  <c r="E55" i="18"/>
  <c r="D55" i="18"/>
  <c r="C55" i="18"/>
  <c r="L54" i="18"/>
  <c r="K54" i="18"/>
  <c r="J54" i="18"/>
  <c r="I54" i="18"/>
  <c r="H54" i="18"/>
  <c r="G54" i="18"/>
  <c r="F54" i="18"/>
  <c r="E54" i="18"/>
  <c r="D54" i="18"/>
  <c r="C54" i="18"/>
  <c r="L53" i="18"/>
  <c r="K53" i="18"/>
  <c r="J53" i="18"/>
  <c r="I53" i="18"/>
  <c r="H53" i="18"/>
  <c r="G53" i="18"/>
  <c r="F53" i="18"/>
  <c r="E53" i="18"/>
  <c r="D53" i="18"/>
  <c r="C53" i="18"/>
  <c r="L51" i="18"/>
  <c r="K51" i="18"/>
  <c r="J51" i="18"/>
  <c r="I51" i="18"/>
  <c r="H51" i="18"/>
  <c r="G51" i="18"/>
  <c r="F51" i="18"/>
  <c r="E51" i="18"/>
  <c r="D51" i="18"/>
  <c r="C51" i="18"/>
  <c r="L50" i="18"/>
  <c r="K50" i="18"/>
  <c r="J50" i="18"/>
  <c r="I50" i="18"/>
  <c r="H50" i="18"/>
  <c r="G50" i="18"/>
  <c r="F50" i="18"/>
  <c r="E50" i="18"/>
  <c r="D50" i="18"/>
  <c r="C50" i="18"/>
  <c r="L49" i="18"/>
  <c r="K49" i="18"/>
  <c r="J49" i="18"/>
  <c r="I49" i="18"/>
  <c r="H49" i="18"/>
  <c r="G49" i="18"/>
  <c r="F49" i="18"/>
  <c r="E49" i="18"/>
  <c r="D49" i="18"/>
  <c r="C49" i="18"/>
  <c r="L48" i="18"/>
  <c r="K48" i="18"/>
  <c r="J48" i="18"/>
  <c r="I48" i="18"/>
  <c r="H48" i="18"/>
  <c r="G48" i="18"/>
  <c r="F48" i="18"/>
  <c r="E48" i="18"/>
  <c r="D48" i="18"/>
  <c r="C48" i="18"/>
  <c r="L47" i="18"/>
  <c r="K47" i="18"/>
  <c r="J47" i="18"/>
  <c r="I47" i="18"/>
  <c r="H47" i="18"/>
  <c r="G47" i="18"/>
  <c r="F47" i="18"/>
  <c r="E47" i="18"/>
  <c r="D47" i="18"/>
  <c r="C47" i="18"/>
  <c r="M36" i="18"/>
  <c r="M41" i="18" s="1"/>
  <c r="L36" i="18"/>
  <c r="L41" i="18" s="1"/>
  <c r="K36" i="18"/>
  <c r="K41" i="18" s="1"/>
  <c r="J36" i="18"/>
  <c r="J41" i="18" s="1"/>
  <c r="I36" i="18"/>
  <c r="I41" i="18" s="1"/>
  <c r="H36" i="18"/>
  <c r="H41" i="18" s="1"/>
  <c r="G36" i="18"/>
  <c r="G41" i="18" s="1"/>
  <c r="F36" i="18"/>
  <c r="F41" i="18" s="1"/>
  <c r="E36" i="18"/>
  <c r="E41" i="18" s="1"/>
  <c r="D36" i="18"/>
  <c r="D41" i="18" s="1"/>
  <c r="C36" i="18"/>
  <c r="C41" i="18" s="1"/>
  <c r="M30" i="18"/>
  <c r="L30" i="18"/>
  <c r="K30" i="18"/>
  <c r="J30" i="18"/>
  <c r="I30" i="18"/>
  <c r="H30" i="18"/>
  <c r="G30" i="18"/>
  <c r="F30" i="18"/>
  <c r="E30" i="18"/>
  <c r="D30" i="18"/>
  <c r="C30" i="18"/>
  <c r="J24" i="18"/>
  <c r="M24" i="18"/>
  <c r="M25" i="18" s="1"/>
  <c r="L24" i="18"/>
  <c r="K24" i="18"/>
  <c r="I24" i="18"/>
  <c r="H24" i="18"/>
  <c r="G24" i="18"/>
  <c r="F24" i="18"/>
  <c r="E24" i="18"/>
  <c r="D24" i="18"/>
  <c r="C24" i="18"/>
  <c r="M21" i="18"/>
  <c r="M22" i="18" s="1"/>
  <c r="L21" i="18"/>
  <c r="K21" i="18"/>
  <c r="J21" i="18"/>
  <c r="I21" i="18"/>
  <c r="H21" i="18"/>
  <c r="G21" i="18"/>
  <c r="F21" i="18"/>
  <c r="E21" i="18"/>
  <c r="D21" i="18"/>
  <c r="C21" i="18"/>
  <c r="M15" i="18"/>
  <c r="M16" i="18" s="1"/>
  <c r="L15" i="18"/>
  <c r="K15" i="18"/>
  <c r="J15" i="18"/>
  <c r="I15" i="18"/>
  <c r="H15" i="18"/>
  <c r="G15" i="18"/>
  <c r="F15" i="18"/>
  <c r="E15" i="18"/>
  <c r="D15" i="18"/>
  <c r="C15" i="18"/>
  <c r="M9" i="18"/>
  <c r="M10" i="18" s="1"/>
  <c r="L9" i="18"/>
  <c r="L10" i="18" s="1"/>
  <c r="K9" i="18"/>
  <c r="K10" i="18" s="1"/>
  <c r="J9" i="18"/>
  <c r="I9" i="18"/>
  <c r="H9" i="18"/>
  <c r="G9" i="18"/>
  <c r="F9" i="18"/>
  <c r="E9" i="18"/>
  <c r="D9" i="18"/>
  <c r="C9" i="18"/>
  <c r="L6" i="18"/>
  <c r="M7" i="18" s="1"/>
  <c r="K6" i="18"/>
  <c r="J6" i="18"/>
  <c r="I6" i="18"/>
  <c r="H6" i="18"/>
  <c r="G6" i="18"/>
  <c r="F6" i="18"/>
  <c r="E6" i="18"/>
  <c r="E25" i="18" s="1"/>
  <c r="D6" i="18"/>
  <c r="C6" i="18"/>
  <c r="J10" i="18" l="1"/>
  <c r="G10" i="18"/>
  <c r="H16" i="18"/>
  <c r="I22" i="18"/>
  <c r="K25" i="18"/>
  <c r="C57" i="18"/>
  <c r="F16" i="18"/>
  <c r="I57" i="18"/>
  <c r="J7" i="18"/>
  <c r="K62" i="18"/>
  <c r="F10" i="18"/>
  <c r="K57" i="18"/>
  <c r="E62" i="18"/>
  <c r="D7" i="18"/>
  <c r="H10" i="18"/>
  <c r="I10" i="18"/>
  <c r="K7" i="18"/>
  <c r="G22" i="18"/>
  <c r="H25" i="18"/>
  <c r="G16" i="18"/>
  <c r="H22" i="18"/>
  <c r="I25" i="18"/>
  <c r="J57" i="18"/>
  <c r="D62" i="18"/>
  <c r="I16" i="18"/>
  <c r="J22" i="18"/>
  <c r="L25" i="18"/>
  <c r="D57" i="18"/>
  <c r="F62" i="18"/>
  <c r="K16" i="18"/>
  <c r="L22" i="18"/>
  <c r="J25" i="18"/>
  <c r="J62" i="18"/>
  <c r="L16" i="18"/>
  <c r="C25" i="18"/>
  <c r="C22" i="18"/>
  <c r="D25" i="18"/>
  <c r="I7" i="18"/>
  <c r="C16" i="18"/>
  <c r="D22" i="18"/>
  <c r="L62" i="18"/>
  <c r="H7" i="18"/>
  <c r="L57" i="18"/>
  <c r="J16" i="18"/>
  <c r="K22" i="18"/>
  <c r="E57" i="18"/>
  <c r="G62" i="18"/>
  <c r="H62" i="18"/>
  <c r="I62" i="18"/>
  <c r="F57" i="18"/>
  <c r="C10" i="18"/>
  <c r="D16" i="18"/>
  <c r="G57" i="18"/>
  <c r="C62" i="18"/>
  <c r="C64" i="18" s="1"/>
  <c r="C66" i="18" s="1"/>
  <c r="D10" i="18"/>
  <c r="E16" i="18"/>
  <c r="F22" i="18"/>
  <c r="G25" i="18"/>
  <c r="H57" i="18"/>
  <c r="E10" i="18"/>
  <c r="L7" i="18"/>
  <c r="F25" i="18"/>
  <c r="E22" i="18"/>
  <c r="E7" i="18"/>
  <c r="F7" i="18"/>
  <c r="G7" i="18"/>
  <c r="E12" i="18"/>
  <c r="F12" i="18"/>
  <c r="G12" i="18"/>
  <c r="H12" i="18"/>
  <c r="H13" i="18" s="1"/>
  <c r="I12" i="18"/>
  <c r="I13" i="18" s="1"/>
  <c r="J12" i="18"/>
  <c r="J13" i="18" s="1"/>
  <c r="C12" i="18"/>
  <c r="C13" i="18" s="1"/>
  <c r="K12" i="18"/>
  <c r="K13" i="18" s="1"/>
  <c r="L12" i="18"/>
  <c r="L13" i="18" s="1"/>
  <c r="D12" i="18"/>
  <c r="D13" i="18" s="1"/>
  <c r="M12" i="18"/>
  <c r="M13" i="18" s="1"/>
  <c r="L3" i="18"/>
  <c r="K3" i="18"/>
  <c r="J3" i="18"/>
  <c r="I3" i="18"/>
  <c r="H3" i="18"/>
  <c r="G3" i="18"/>
  <c r="F3" i="18"/>
  <c r="E3" i="18"/>
  <c r="D3" i="18"/>
  <c r="C3" i="18"/>
  <c r="K33" i="6"/>
  <c r="J33" i="6"/>
  <c r="I33" i="6"/>
  <c r="H33" i="6"/>
  <c r="G33" i="6"/>
  <c r="F33" i="6"/>
  <c r="E33" i="6"/>
  <c r="D33" i="6"/>
  <c r="C33" i="6"/>
  <c r="B33" i="6"/>
  <c r="F64" i="18" l="1"/>
  <c r="F66" i="18" s="1"/>
  <c r="E64" i="18"/>
  <c r="E66" i="18" s="1"/>
  <c r="K64" i="18"/>
  <c r="K66" i="18" s="1"/>
  <c r="D64" i="18"/>
  <c r="D66" i="18" s="1"/>
  <c r="I64" i="18"/>
  <c r="I66" i="18" s="1"/>
  <c r="J64" i="18"/>
  <c r="J66" i="18" s="1"/>
  <c r="H64" i="18"/>
  <c r="H66" i="18" s="1"/>
  <c r="L64" i="18"/>
  <c r="L66" i="18" s="1"/>
  <c r="G64" i="18"/>
  <c r="G66" i="18" s="1"/>
  <c r="G18" i="18"/>
  <c r="G27" i="18" s="1"/>
  <c r="G13" i="18"/>
  <c r="F18" i="18"/>
  <c r="F13" i="18"/>
  <c r="E18" i="18"/>
  <c r="E27" i="18" s="1"/>
  <c r="E13" i="18"/>
  <c r="J18" i="18"/>
  <c r="D18" i="18"/>
  <c r="L18" i="18"/>
  <c r="K18" i="18"/>
  <c r="C18" i="18"/>
  <c r="I18" i="18"/>
  <c r="H18" i="18"/>
  <c r="K51" i="6"/>
  <c r="J51" i="6"/>
  <c r="I51" i="6"/>
  <c r="H51" i="6"/>
  <c r="G51" i="6"/>
  <c r="F51" i="6"/>
  <c r="E51" i="6"/>
  <c r="D51" i="6"/>
  <c r="C51" i="6"/>
  <c r="B51" i="6"/>
  <c r="B6" i="6"/>
  <c r="E1" i="6"/>
  <c r="E28" i="18" l="1"/>
  <c r="E31" i="18"/>
  <c r="E33" i="18"/>
  <c r="H19" i="18"/>
  <c r="I19" i="18"/>
  <c r="F19" i="18"/>
  <c r="C19" i="18"/>
  <c r="G31" i="18"/>
  <c r="G28" i="18"/>
  <c r="L19" i="18"/>
  <c r="K19" i="18"/>
  <c r="D19" i="18"/>
  <c r="G19" i="18"/>
  <c r="E19" i="18"/>
  <c r="J19" i="18"/>
  <c r="M18" i="18"/>
  <c r="F27" i="18"/>
  <c r="F33" i="18" s="1"/>
  <c r="E38" i="18"/>
  <c r="G33" i="18"/>
  <c r="H27" i="18"/>
  <c r="L27" i="18"/>
  <c r="J27" i="18"/>
  <c r="I27" i="18"/>
  <c r="C27" i="18"/>
  <c r="K27" i="18"/>
  <c r="D27" i="18"/>
  <c r="H31" i="18" l="1"/>
  <c r="H28" i="18"/>
  <c r="G34" i="18"/>
  <c r="F34" i="18"/>
  <c r="J28" i="18"/>
  <c r="J31" i="18"/>
  <c r="E34" i="18"/>
  <c r="K28" i="18"/>
  <c r="K31" i="18"/>
  <c r="F28" i="18"/>
  <c r="F31" i="18"/>
  <c r="L28" i="18"/>
  <c r="L31" i="18"/>
  <c r="D28" i="18"/>
  <c r="D31" i="18"/>
  <c r="C28" i="18"/>
  <c r="C31" i="18"/>
  <c r="M19" i="18"/>
  <c r="M27" i="18"/>
  <c r="I28" i="18"/>
  <c r="I31" i="18"/>
  <c r="E42" i="18"/>
  <c r="E44" i="18" s="1"/>
  <c r="H33" i="18"/>
  <c r="G38" i="18"/>
  <c r="C33" i="18"/>
  <c r="I33" i="18"/>
  <c r="J33" i="18"/>
  <c r="F38" i="18"/>
  <c r="D33" i="18"/>
  <c r="K33" i="18"/>
  <c r="L33" i="18"/>
  <c r="K34" i="18" l="1"/>
  <c r="I34" i="18"/>
  <c r="D34" i="18"/>
  <c r="J34" i="18"/>
  <c r="M28" i="18"/>
  <c r="M31" i="18"/>
  <c r="M33" i="18"/>
  <c r="L34" i="18"/>
  <c r="C34" i="18"/>
  <c r="H34" i="18"/>
  <c r="G42" i="18"/>
  <c r="G44" i="18" s="1"/>
  <c r="F39" i="18"/>
  <c r="F42" i="18"/>
  <c r="F44" i="18" s="1"/>
  <c r="I38" i="18"/>
  <c r="K38" i="18"/>
  <c r="G39" i="18"/>
  <c r="D38" i="18"/>
  <c r="C38" i="18"/>
  <c r="H38" i="18"/>
  <c r="L38" i="18"/>
  <c r="J38" i="18"/>
  <c r="M34" i="18" l="1"/>
  <c r="M38" i="18"/>
  <c r="D39" i="18"/>
  <c r="D42" i="18"/>
  <c r="D44" i="18" s="1"/>
  <c r="K39" i="18"/>
  <c r="K42" i="18"/>
  <c r="K44" i="18" s="1"/>
  <c r="J39" i="18"/>
  <c r="J42" i="18"/>
  <c r="J44" i="18" s="1"/>
  <c r="I42" i="18"/>
  <c r="I44" i="18" s="1"/>
  <c r="L42" i="18"/>
  <c r="L44" i="18" s="1"/>
  <c r="H39" i="18"/>
  <c r="H44" i="18"/>
  <c r="H42" i="18"/>
  <c r="C42" i="18"/>
  <c r="C44" i="18" s="1"/>
  <c r="L39" i="18"/>
  <c r="M39" i="18"/>
  <c r="E39" i="18"/>
  <c r="I39" i="18"/>
  <c r="M44" i="18" l="1"/>
  <c r="M42" i="18"/>
</calcChain>
</file>

<file path=xl/sharedStrings.xml><?xml version="1.0" encoding="utf-8"?>
<sst xmlns="http://schemas.openxmlformats.org/spreadsheetml/2006/main" count="447" uniqueCount="315">
  <si>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</si>
  <si>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</si>
  <si>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</si>
  <si>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</si>
  <si>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</si>
  <si>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</si>
  <si>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</si>
  <si>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</si>
  <si>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</si>
  <si>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</si>
  <si>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</si>
  <si>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</si>
  <si>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</si>
  <si>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</si>
  <si>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</si>
  <si>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</si>
  <si>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</si>
  <si>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</si>
  <si>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</si>
  <si>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</si>
  <si>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</si>
  <si>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</si>
  <si>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</si>
  <si>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</si>
  <si>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</si>
  <si>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</si>
  <si>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</si>
  <si>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</si>
  <si>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</si>
  <si>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</si>
  <si>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</si>
  <si>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</si>
  <si>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</si>
  <si>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</si>
  <si>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</si>
  <si>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</si>
  <si>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</si>
  <si>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</si>
  <si>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</si>
  <si>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</si>
  <si>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</si>
  <si>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</si>
  <si>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</si>
  <si>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</si>
  <si>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</si>
  <si>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</si>
  <si>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</si>
  <si>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</si>
  <si>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</si>
  <si>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</si>
  <si>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</si>
  <si>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</si>
  <si>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</si>
  <si>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</si>
  <si>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</si>
  <si>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</si>
  <si>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</si>
  <si>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 xml:space="preserve">Sales </t>
  </si>
  <si>
    <t>-</t>
  </si>
  <si>
    <t>EBITDA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</si>
  <si>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</si>
  <si>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</si>
  <si>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</si>
  <si>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</si>
  <si>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</si>
  <si>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</si>
  <si>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</si>
  <si>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</si>
  <si>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</si>
  <si>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</si>
  <si>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</si>
  <si>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</si>
  <si>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</si>
  <si>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</si>
  <si>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Repayment of borrowings</t>
  </si>
  <si>
    <t>Dividends paid</t>
  </si>
  <si>
    <t>Financial liabilities</t>
  </si>
  <si>
    <t>Other financing items</t>
  </si>
  <si>
    <t>Income Statement</t>
  </si>
  <si>
    <t xml:space="preserve">Sales Growth </t>
  </si>
  <si>
    <t>COGS</t>
  </si>
  <si>
    <t>COSG % Sales</t>
  </si>
  <si>
    <t xml:space="preserve">Gross Profit </t>
  </si>
  <si>
    <t xml:space="preserve">Selling &amp; General Expenses </t>
  </si>
  <si>
    <t>S&amp;G Exp % Sales</t>
  </si>
  <si>
    <t>EBITDA Margins</t>
  </si>
  <si>
    <t xml:space="preserve">Interest </t>
  </si>
  <si>
    <t>Interest % Sales</t>
  </si>
  <si>
    <t>Deprecaiton % Sales</t>
  </si>
  <si>
    <t>Gross Margins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</si>
  <si>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</si>
  <si>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</si>
  <si>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</si>
  <si>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</si>
  <si>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</si>
  <si>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</si>
  <si>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</si>
  <si>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Dividend per Share</t>
  </si>
  <si>
    <t>EPS Growth %</t>
  </si>
  <si>
    <t xml:space="preserve">Dividend Payout Ratio </t>
  </si>
  <si>
    <t>Retained Earnings</t>
  </si>
  <si>
    <t xml:space="preserve">Balance Sheet </t>
  </si>
  <si>
    <t xml:space="preserve">Total Laibilities </t>
  </si>
  <si>
    <t>Fixed Asset Net Block</t>
  </si>
  <si>
    <t>Total Non Current Assets</t>
  </si>
  <si>
    <t>Total Current Assets</t>
  </si>
  <si>
    <t xml:space="preserve">Total Assets </t>
  </si>
  <si>
    <t>Check</t>
  </si>
  <si>
    <t>Cash from Operating Activity -</t>
  </si>
  <si>
    <t>Loans Advances</t>
  </si>
  <si>
    <t>Cash from Investing Activity -</t>
  </si>
  <si>
    <t>Cash from Financing Activity -</t>
  </si>
  <si>
    <t>Cash Flow Statements</t>
  </si>
  <si>
    <t xml:space="preserve">Cash From Operating Activities </t>
  </si>
  <si>
    <t>Operating Activities</t>
  </si>
  <si>
    <t xml:space="preserve">Investing Activities </t>
  </si>
  <si>
    <t xml:space="preserve">Cash From Investing Activities </t>
  </si>
  <si>
    <t xml:space="preserve">Financing Activties </t>
  </si>
  <si>
    <t xml:space="preserve">Cash From Financing Activities </t>
  </si>
  <si>
    <t>Median</t>
  </si>
  <si>
    <t>Total Asset</t>
  </si>
  <si>
    <t>Other Asset</t>
  </si>
  <si>
    <t>Inter corporate deposits</t>
  </si>
  <si>
    <t>Inter Corporate Deposits</t>
  </si>
  <si>
    <t>Weighted Average Cost of Capital</t>
  </si>
  <si>
    <t xml:space="preserve">All figures are in INR unless stated otherwise </t>
  </si>
  <si>
    <t>Peer Comps</t>
  </si>
  <si>
    <t>Name of the Comp</t>
  </si>
  <si>
    <t>Country</t>
  </si>
  <si>
    <t>Total Debt</t>
  </si>
  <si>
    <t xml:space="preserve">Total Equity </t>
  </si>
  <si>
    <t>Tax Rate</t>
  </si>
  <si>
    <t>Debt /</t>
  </si>
  <si>
    <t>Equity</t>
  </si>
  <si>
    <t>Capital</t>
  </si>
  <si>
    <t xml:space="preserve">Levered </t>
  </si>
  <si>
    <t xml:space="preserve">Unlevered </t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</si>
  <si>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</si>
  <si>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</si>
  <si>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India</t>
  </si>
  <si>
    <t xml:space="preserve">Average </t>
  </si>
  <si>
    <t>Cost of Debt</t>
  </si>
  <si>
    <t>Pre Tax Cost of Debt</t>
  </si>
  <si>
    <t>Post Tax Cost of Debt</t>
  </si>
  <si>
    <t>Cost of Equity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</si>
  <si>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</si>
  <si>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</si>
  <si>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</si>
  <si>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</si>
  <si>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</si>
  <si>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Current</t>
  </si>
  <si>
    <t>Target</t>
  </si>
  <si>
    <t>Infosys Ltd</t>
  </si>
  <si>
    <t>Total Capital</t>
  </si>
  <si>
    <t>Debt / Equity</t>
  </si>
  <si>
    <t>Comp Median Unlevered Beta</t>
  </si>
  <si>
    <t>Target Debt / Equity</t>
  </si>
  <si>
    <t>Equity Weight</t>
  </si>
  <si>
    <t>Debt Weight</t>
  </si>
  <si>
    <t>WACC</t>
  </si>
  <si>
    <t>Notes:</t>
  </si>
  <si>
    <t>1. Tax Rate considered as Marginal Tax Rate for the country</t>
  </si>
  <si>
    <t>2. Levered beta is based on 5 year monthly data</t>
  </si>
  <si>
    <t>3. Unlevered beta = Levered Beta/(1+(1-Tax Rate)*Debt/Equity)</t>
  </si>
  <si>
    <t>4. Levered beta = Unlevered Beta*(1+(1-Tax Rate)*Debt/Equity)</t>
  </si>
  <si>
    <t>TCS</t>
  </si>
  <si>
    <t>HCL Technologies</t>
  </si>
  <si>
    <t>Wipro</t>
  </si>
  <si>
    <t>Tech Mahindra</t>
  </si>
  <si>
    <t>Regression Beta - 5 Years Monthly</t>
  </si>
  <si>
    <t xml:space="preserve"> Infosys Ltd Weekly Returns</t>
  </si>
  <si>
    <t>Date</t>
  </si>
  <si>
    <t>Closing Price</t>
  </si>
  <si>
    <t>Return</t>
  </si>
  <si>
    <t>S.No.</t>
  </si>
  <si>
    <t>Name</t>
  </si>
  <si>
    <t>CMP Rs.</t>
  </si>
  <si>
    <t>Debt Rs.Cr.</t>
  </si>
  <si>
    <t xml:space="preserve">Mar Cap Rs.Cr. </t>
  </si>
  <si>
    <t>Debt / Eq</t>
  </si>
  <si>
    <t>Infosys</t>
  </si>
  <si>
    <t>Nifty Returns</t>
  </si>
  <si>
    <t>Beta Drifitng</t>
  </si>
  <si>
    <t>Levered Raw Beta</t>
  </si>
  <si>
    <t>Raw Beta Weight</t>
  </si>
  <si>
    <t>Market Beta</t>
  </si>
  <si>
    <t>Market Beta Weight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</si>
  <si>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</si>
  <si>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</si>
  <si>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</si>
  <si>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</si>
  <si>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</si>
  <si>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</si>
  <si>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</si>
  <si>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</si>
  <si>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</si>
  <si>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</si>
  <si>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</si>
  <si>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</si>
  <si>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</si>
  <si>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</si>
  <si>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</si>
  <si>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</si>
  <si>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</si>
  <si>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</si>
  <si>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</si>
  <si>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</si>
  <si>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</si>
  <si>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</si>
  <si>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</si>
  <si>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</si>
  <si>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</si>
  <si>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</si>
  <si>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</si>
  <si>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Adjusted Beta</t>
  </si>
  <si>
    <t>Return on Markets</t>
  </si>
  <si>
    <t>Year</t>
  </si>
  <si>
    <t>Annual</t>
  </si>
  <si>
    <t>Average Return</t>
  </si>
  <si>
    <t>Dividend Yeild</t>
  </si>
  <si>
    <t>Total Market Return</t>
  </si>
  <si>
    <t>Calcualtion of ROIC</t>
  </si>
  <si>
    <t>Equity Capital</t>
  </si>
  <si>
    <t>Borrowings -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</si>
  <si>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</si>
  <si>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</si>
  <si>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</si>
  <si>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</si>
  <si>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</si>
  <si>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</si>
  <si>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</si>
  <si>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</si>
  <si>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</si>
  <si>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</si>
  <si>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</si>
  <si>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</si>
  <si>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</si>
  <si>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</si>
  <si>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</si>
  <si>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</si>
  <si>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</si>
  <si>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</si>
  <si>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</si>
  <si>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</si>
  <si>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</si>
  <si>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Trade receivables</t>
  </si>
  <si>
    <t>Cash Equivalents</t>
  </si>
  <si>
    <t>Loans n Advances</t>
  </si>
  <si>
    <t>Other asset items</t>
  </si>
  <si>
    <t>Total Assets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</si>
  <si>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</si>
  <si>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</si>
  <si>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</si>
  <si>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</si>
  <si>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</si>
  <si>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</si>
  <si>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</si>
  <si>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</si>
  <si>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</si>
  <si>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</si>
  <si>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</si>
  <si>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</si>
  <si>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</si>
  <si>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</si>
  <si>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</si>
  <si>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</si>
  <si>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</si>
  <si>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</si>
  <si>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Intrinsic Growth</t>
  </si>
  <si>
    <t>Calculation of PV of FCFF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</si>
  <si>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</si>
  <si>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</si>
  <si>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</si>
  <si>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</si>
  <si>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</si>
  <si>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</si>
  <si>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</si>
  <si>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</si>
  <si>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</si>
  <si>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</si>
  <si>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</si>
  <si>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PV of Terminal Value</t>
  </si>
  <si>
    <t>Value of Operating Assets</t>
  </si>
  <si>
    <t>Add : Cash</t>
  </si>
  <si>
    <t>Less : Debt</t>
  </si>
  <si>
    <t>Calculation of Equity Value per Share</t>
  </si>
  <si>
    <t>Value of Equity</t>
  </si>
  <si>
    <t>Number of Shares</t>
  </si>
  <si>
    <t>Equity Value Per Share</t>
  </si>
  <si>
    <t>Share Price</t>
  </si>
  <si>
    <t>Discount/Premium</t>
  </si>
  <si>
    <t>Sensitivity Analysis</t>
  </si>
  <si>
    <t>Discounted Cash Flow Valuation</t>
  </si>
  <si>
    <t>Company : Infosys Ltd</t>
  </si>
  <si>
    <t>Prepared by : Arjit Uttam</t>
  </si>
  <si>
    <t>Date : March / 2026</t>
  </si>
  <si>
    <t>Valuation Results :</t>
  </si>
  <si>
    <t xml:space="preserve">Equity  Value per Share </t>
  </si>
  <si>
    <t>PV OF FCFF</t>
  </si>
  <si>
    <t>PV OF Terminal Value</t>
  </si>
  <si>
    <t>Key Insights :</t>
  </si>
  <si>
    <t>Assumptions taken:</t>
  </si>
  <si>
    <t>Macroeconomic Inputs:</t>
  </si>
  <si>
    <t>Variable</t>
  </si>
  <si>
    <t>Value</t>
  </si>
  <si>
    <t>Notes</t>
  </si>
  <si>
    <t>India 10 Year Bonds</t>
  </si>
  <si>
    <t>From Comps</t>
  </si>
  <si>
    <t>Cost of Capital:</t>
  </si>
  <si>
    <t xml:space="preserve">Levered Beta </t>
  </si>
  <si>
    <t>Operating Assumptions :</t>
  </si>
  <si>
    <t>EBIT Growth Rate</t>
  </si>
  <si>
    <t>Terminal Assumptions :</t>
  </si>
  <si>
    <t>This model is built for learning purposes, and certain assumptions are simplified; therefore, the valuation should be interpreted as indicative rather than precise.</t>
  </si>
  <si>
    <t xml:space="preserve">   Disclaimer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</si>
</sst>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#,##0.0;\(#,##0.0\);\-"/>
    <numFmt numFmtId="168" formatCode="mmm/yy&quot;A&quot;"/>
    <numFmt numFmtId="169" formatCode="mmm/yy&quot;F&quot;"/>
    <numFmt numFmtId="170" formatCode="0.000"/>
    <numFmt numFmtId="171" formatCode="0.00\x"/>
    <numFmt numFmtId="172" formatCode="#,##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9"/>
      <color theme="1"/>
      <name val="Calibri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hair">
        <color rgb="FF00B0F0"/>
      </bottom>
      <diagonal/>
    </border>
    <border>
      <left/>
      <right/>
      <top style="thin">
        <color rgb="FF00B0F0"/>
      </top>
      <bottom style="medium">
        <color rgb="FF00B0F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3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1" fillId="0" borderId="0" xfId="0" applyFont="1"/>
    <xf numFmtId="10" fontId="0" fillId="0" borderId="0" xfId="4" applyNumberFormat="1" applyFont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4" applyNumberFormat="1" applyFont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0" fontId="1" fillId="6" borderId="0" xfId="0" applyFont="1" applyFill="1"/>
    <xf numFmtId="0" fontId="0" fillId="6" borderId="0" xfId="0" applyFill="1"/>
    <xf numFmtId="166" fontId="1" fillId="0" borderId="0" xfId="0" applyNumberFormat="1" applyFont="1"/>
    <xf numFmtId="0" fontId="8" fillId="0" borderId="0" xfId="0" applyFont="1"/>
    <xf numFmtId="3" fontId="0" fillId="0" borderId="0" xfId="0" applyNumberFormat="1"/>
    <xf numFmtId="0" fontId="1" fillId="0" borderId="1" xfId="0" applyFont="1" applyBorder="1"/>
    <xf numFmtId="166" fontId="0" fillId="0" borderId="1" xfId="0" applyNumberFormat="1" applyBorder="1"/>
    <xf numFmtId="166" fontId="1" fillId="0" borderId="1" xfId="0" applyNumberFormat="1" applyFont="1" applyBorder="1"/>
    <xf numFmtId="10" fontId="0" fillId="0" borderId="0" xfId="0" applyNumberFormat="1"/>
    <xf numFmtId="3" fontId="1" fillId="0" borderId="0" xfId="0" applyNumberFormat="1" applyFont="1"/>
    <xf numFmtId="0" fontId="0" fillId="0" borderId="2" xfId="0" applyBorder="1"/>
    <xf numFmtId="3" fontId="0" fillId="0" borderId="2" xfId="0" applyNumberFormat="1" applyBorder="1"/>
    <xf numFmtId="0" fontId="10" fillId="6" borderId="0" xfId="0" applyFont="1" applyFill="1"/>
    <xf numFmtId="0" fontId="11" fillId="0" borderId="0" xfId="0" applyFont="1"/>
    <xf numFmtId="0" fontId="0" fillId="0" borderId="3" xfId="0" applyBorder="1"/>
    <xf numFmtId="0" fontId="9" fillId="0" borderId="0" xfId="0" applyFont="1"/>
    <xf numFmtId="10" fontId="9" fillId="0" borderId="0" xfId="0" applyNumberFormat="1" applyFont="1"/>
    <xf numFmtId="2" fontId="0" fillId="0" borderId="0" xfId="0" applyNumberFormat="1"/>
    <xf numFmtId="2" fontId="9" fillId="0" borderId="0" xfId="0" applyNumberFormat="1" applyFont="1"/>
    <xf numFmtId="0" fontId="1" fillId="0" borderId="2" xfId="0" applyFont="1" applyBorder="1"/>
    <xf numFmtId="10" fontId="0" fillId="0" borderId="2" xfId="0" applyNumberFormat="1" applyBorder="1"/>
    <xf numFmtId="2" fontId="0" fillId="0" borderId="2" xfId="0" applyNumberFormat="1" applyBorder="1"/>
    <xf numFmtId="0" fontId="1" fillId="0" borderId="3" xfId="0" applyFont="1" applyBorder="1"/>
    <xf numFmtId="10" fontId="0" fillId="0" borderId="3" xfId="0" applyNumberFormat="1" applyBorder="1"/>
    <xf numFmtId="2" fontId="0" fillId="0" borderId="3" xfId="0" applyNumberFormat="1" applyBorder="1"/>
    <xf numFmtId="0" fontId="0" fillId="0" borderId="4" xfId="0" applyBorder="1"/>
    <xf numFmtId="10" fontId="0" fillId="0" borderId="4" xfId="4" applyNumberFormat="1" applyFont="1" applyBorder="1"/>
    <xf numFmtId="10" fontId="0" fillId="0" borderId="4" xfId="0" applyNumberFormat="1" applyBorder="1"/>
    <xf numFmtId="0" fontId="13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15" fontId="0" fillId="0" borderId="0" xfId="0" applyNumberFormat="1"/>
    <xf numFmtId="15" fontId="0" fillId="0" borderId="0" xfId="0" applyNumberFormat="1" applyAlignment="1">
      <alignment horizontal="left"/>
    </xf>
    <xf numFmtId="10" fontId="0" fillId="0" borderId="0" xfId="4" applyNumberFormat="1" applyFont="1" applyAlignment="1">
      <alignment horizontal="right"/>
    </xf>
    <xf numFmtId="4" fontId="0" fillId="0" borderId="0" xfId="0" applyNumberFormat="1"/>
    <xf numFmtId="0" fontId="0" fillId="0" borderId="5" xfId="0" applyBorder="1"/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Continuous"/>
    </xf>
    <xf numFmtId="9" fontId="0" fillId="0" borderId="0" xfId="0" applyNumberFormat="1"/>
    <xf numFmtId="0" fontId="0" fillId="8" borderId="0" xfId="0" applyFill="1" applyAlignment="1">
      <alignment horizontal="left"/>
    </xf>
    <xf numFmtId="2" fontId="0" fillId="8" borderId="0" xfId="0" applyNumberFormat="1" applyFill="1"/>
    <xf numFmtId="10" fontId="0" fillId="8" borderId="0" xfId="4" applyNumberFormat="1" applyFont="1" applyFill="1"/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14" fillId="0" borderId="0" xfId="0" applyNumberFormat="1" applyFont="1" applyAlignment="1">
      <alignment horizontal="right" vertical="center"/>
    </xf>
    <xf numFmtId="0" fontId="1" fillId="8" borderId="0" xfId="0" applyFont="1" applyFill="1"/>
    <xf numFmtId="10" fontId="1" fillId="8" borderId="0" xfId="0" applyNumberFormat="1" applyFont="1" applyFill="1"/>
    <xf numFmtId="2" fontId="0" fillId="0" borderId="4" xfId="0" applyNumberFormat="1" applyBorder="1"/>
    <xf numFmtId="10" fontId="0" fillId="7" borderId="4" xfId="4" applyNumberFormat="1" applyFont="1" applyFill="1" applyBorder="1"/>
    <xf numFmtId="10" fontId="1" fillId="0" borderId="0" xfId="4" applyNumberFormat="1" applyFont="1"/>
    <xf numFmtId="10" fontId="9" fillId="0" borderId="0" xfId="4" applyNumberFormat="1" applyFont="1"/>
    <xf numFmtId="0" fontId="2" fillId="6" borderId="0" xfId="0" applyFont="1" applyFill="1"/>
    <xf numFmtId="17" fontId="2" fillId="6" borderId="0" xfId="0" applyNumberFormat="1" applyFont="1" applyFill="1"/>
    <xf numFmtId="0" fontId="0" fillId="5" borderId="0" xfId="0" applyFill="1"/>
    <xf numFmtId="3" fontId="0" fillId="5" borderId="0" xfId="0" applyNumberFormat="1" applyFill="1"/>
    <xf numFmtId="3" fontId="1" fillId="5" borderId="0" xfId="0" applyNumberFormat="1" applyFont="1" applyFill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167" fontId="0" fillId="0" borderId="7" xfId="0" applyNumberFormat="1" applyBorder="1"/>
    <xf numFmtId="167" fontId="1" fillId="0" borderId="8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1" fillId="0" borderId="0" xfId="0" applyNumberFormat="1" applyFont="1"/>
    <xf numFmtId="0" fontId="1" fillId="0" borderId="11" xfId="0" applyFont="1" applyBorder="1"/>
    <xf numFmtId="0" fontId="0" fillId="0" borderId="11" xfId="0" applyBorder="1"/>
    <xf numFmtId="0" fontId="1" fillId="0" borderId="12" xfId="0" applyFont="1" applyBorder="1"/>
    <xf numFmtId="10" fontId="1" fillId="0" borderId="12" xfId="4" applyNumberFormat="1" applyFont="1" applyBorder="1"/>
    <xf numFmtId="167" fontId="0" fillId="0" borderId="0" xfId="0" applyNumberFormat="1"/>
    <xf numFmtId="167" fontId="1" fillId="0" borderId="9" xfId="0" applyNumberFormat="1" applyFont="1" applyBorder="1"/>
    <xf numFmtId="167" fontId="0" fillId="0" borderId="11" xfId="0" applyNumberFormat="1" applyBorder="1"/>
    <xf numFmtId="167" fontId="1" fillId="0" borderId="12" xfId="0" applyNumberFormat="1" applyFont="1" applyBorder="1"/>
    <xf numFmtId="10" fontId="9" fillId="0" borderId="7" xfId="4" applyNumberFormat="1" applyFont="1" applyBorder="1"/>
    <xf numFmtId="0" fontId="1" fillId="7" borderId="0" xfId="0" applyFont="1" applyFill="1"/>
    <xf numFmtId="10" fontId="1" fillId="7" borderId="0" xfId="0" applyNumberFormat="1" applyFont="1" applyFill="1"/>
    <xf numFmtId="10" fontId="0" fillId="0" borderId="7" xfId="0" applyNumberFormat="1" applyBorder="1"/>
    <xf numFmtId="10" fontId="1" fillId="0" borderId="12" xfId="0" applyNumberFormat="1" applyFont="1" applyBorder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0" borderId="12" xfId="0" applyBorder="1"/>
    <xf numFmtId="43" fontId="0" fillId="0" borderId="7" xfId="0" applyNumberFormat="1" applyBorder="1"/>
    <xf numFmtId="0" fontId="9" fillId="0" borderId="7" xfId="0" applyFont="1" applyBorder="1"/>
    <xf numFmtId="43" fontId="0" fillId="7" borderId="7" xfId="0" applyNumberFormat="1" applyFill="1" applyBorder="1"/>
    <xf numFmtId="10" fontId="9" fillId="7" borderId="7" xfId="0" applyNumberFormat="1" applyFont="1" applyFill="1" applyBorder="1"/>
    <xf numFmtId="0" fontId="0" fillId="7" borderId="7" xfId="0" applyFill="1" applyBorder="1"/>
    <xf numFmtId="0" fontId="0" fillId="7" borderId="0" xfId="0" applyFill="1"/>
    <xf numFmtId="0" fontId="0" fillId="7" borderId="12" xfId="0" applyFill="1" applyBorder="1"/>
    <xf numFmtId="170" fontId="0" fillId="0" borderId="7" xfId="0" applyNumberFormat="1" applyBorder="1"/>
    <xf numFmtId="43" fontId="0" fillId="0" borderId="12" xfId="0" applyNumberFormat="1" applyBorder="1"/>
    <xf numFmtId="43" fontId="0" fillId="0" borderId="0" xfId="0" applyNumberFormat="1"/>
    <xf numFmtId="43" fontId="1" fillId="0" borderId="12" xfId="0" applyNumberFormat="1" applyFont="1" applyBorder="1"/>
    <xf numFmtId="43" fontId="1" fillId="0" borderId="0" xfId="0" applyNumberFormat="1" applyFont="1"/>
    <xf numFmtId="171" fontId="0" fillId="0" borderId="0" xfId="4" applyNumberFormat="1" applyFont="1"/>
    <xf numFmtId="43" fontId="5" fillId="0" borderId="0" xfId="0" applyNumberFormat="1" applyFont="1"/>
    <xf numFmtId="10" fontId="1" fillId="0" borderId="0" xfId="0" applyNumberFormat="1" applyFont="1"/>
    <xf numFmtId="172" fontId="0" fillId="0" borderId="0" xfId="0" applyNumberFormat="1"/>
    <xf numFmtId="172" fontId="0" fillId="8" borderId="0" xfId="0" applyNumberFormat="1" applyFill="1"/>
    <xf numFmtId="0" fontId="5" fillId="6" borderId="0" xfId="0" applyFont="1" applyFill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1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 indent="1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right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15</xdr:row>
      <xdr:rowOff>38100</xdr:rowOff>
    </xdr:from>
    <xdr:ext cx="6210300" cy="10972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41816B-6D2D-38F9-AE22-E8D0A94B30A8}"/>
            </a:ext>
          </a:extLst>
        </xdr:cNvPr>
        <xdr:cNvSpPr txBox="1"/>
      </xdr:nvSpPr>
      <xdr:spPr>
        <a:xfrm>
          <a:off x="152400" y="2781300"/>
          <a:ext cx="6210300" cy="1097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Historical performance shows strong capital efficiency, with ROIC consistently above 55% over the past five years, while intrinsic growth moderated after FY2023 following a period of elevated expansion.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A large part of the valuation comes from terminal value, meaning the final result depends heavily on long-term growth assumptions.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company generates stable free cash flows, which supports the valuation.</a:t>
          </a:r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E160-36C9-4A1B-90FB-C46AD3293DE6}">
  <dimension ref="B2:E15"/>
  <sheetViews>
    <sheetView showGridLines="0" workbookViewId="0">
      <selection activeCell="F5" sqref="F5"/>
    </sheetView>
  </sheetViews>
  <sheetFormatPr defaultRowHeight="14.4"/>
  <cols>
    <col min="1" max="1" width="1.88671875" customWidth="1"/>
    <col min="5" max="5" width="11.5546875" bestFit="1" customWidth="1"/>
  </cols>
  <sheetData>
    <row r="2" spans="2:5">
      <c r="B2" s="77" t="s">
        <v>292</v>
      </c>
      <c r="C2" s="123"/>
      <c r="D2" s="123"/>
      <c r="E2" s="123"/>
    </row>
    <row r="4" spans="2:5">
      <c r="B4" t="s">
        <v>293</v>
      </c>
    </row>
    <row r="5" spans="2:5">
      <c r="B5" t="s">
        <v>294</v>
      </c>
    </row>
    <row r="6" spans="2:5">
      <c r="B6" t="s">
        <v>295</v>
      </c>
    </row>
    <row r="8" spans="2:5">
      <c r="B8" s="9" t="s">
        <v>296</v>
      </c>
    </row>
    <row r="10" spans="2:5">
      <c r="B10" t="s">
        <v>297</v>
      </c>
      <c r="E10" s="38">
        <f>DCF!D40</f>
        <v>925.21441109613204</v>
      </c>
    </row>
    <row r="11" spans="2:5">
      <c r="B11" t="s">
        <v>280</v>
      </c>
      <c r="E11" s="115">
        <f>DCF!D26</f>
        <v>474576.82898211392</v>
      </c>
    </row>
    <row r="12" spans="2:5">
      <c r="B12" t="s">
        <v>298</v>
      </c>
      <c r="E12" s="115">
        <f>DCF!D31</f>
        <v>112163.01530563475</v>
      </c>
    </row>
    <row r="13" spans="2:5">
      <c r="B13" t="s">
        <v>299</v>
      </c>
      <c r="E13" s="115">
        <f>DCF!D32</f>
        <v>246804.79659978443</v>
      </c>
    </row>
    <row r="15" spans="2:5">
      <c r="B15" s="9" t="s">
        <v>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F374-B9B6-40BE-8B15-E901E02FA83D}">
  <dimension ref="B2:D30"/>
  <sheetViews>
    <sheetView showGridLines="0" tabSelected="1" topLeftCell="A3" workbookViewId="0">
      <selection activeCell="B31" sqref="B31"/>
    </sheetView>
  </sheetViews>
  <sheetFormatPr defaultRowHeight="14.4"/>
  <cols>
    <col min="1" max="1" width="1.88671875" customWidth="1"/>
    <col min="2" max="2" width="20.5546875" bestFit="1" customWidth="1"/>
    <col min="3" max="3" width="10.33203125" customWidth="1"/>
    <col min="4" max="4" width="19.109375" customWidth="1"/>
  </cols>
  <sheetData>
    <row r="2" spans="2:4">
      <c r="B2" s="77" t="s">
        <v>301</v>
      </c>
    </row>
    <row r="4" spans="2:4">
      <c r="B4" s="131" t="s">
        <v>302</v>
      </c>
    </row>
    <row r="6" spans="2:4">
      <c r="B6" s="133" t="s">
        <v>303</v>
      </c>
      <c r="C6" s="134" t="s">
        <v>304</v>
      </c>
      <c r="D6" s="134" t="s">
        <v>305</v>
      </c>
    </row>
    <row r="7" spans="2:4">
      <c r="B7" s="51" t="s">
        <v>145</v>
      </c>
      <c r="C7" s="128">
        <f>WACC!K22</f>
        <v>6.6790000000000002E-2</v>
      </c>
      <c r="D7" s="52" t="s">
        <v>306</v>
      </c>
    </row>
    <row r="8" spans="2:4">
      <c r="B8" s="51" t="s">
        <v>309</v>
      </c>
      <c r="C8" s="129">
        <f>WACC!K24</f>
        <v>0.95584257628676161</v>
      </c>
      <c r="D8" s="52" t="s">
        <v>307</v>
      </c>
    </row>
    <row r="10" spans="2:4">
      <c r="B10" s="132" t="s">
        <v>308</v>
      </c>
    </row>
    <row r="12" spans="2:4">
      <c r="B12" s="133" t="s">
        <v>303</v>
      </c>
      <c r="C12" s="134" t="s">
        <v>304</v>
      </c>
    </row>
    <row r="13" spans="2:4">
      <c r="B13" t="s">
        <v>142</v>
      </c>
      <c r="C13" s="29">
        <f>WACC!E22</f>
        <v>3.7778997438712041E-2</v>
      </c>
    </row>
    <row r="14" spans="2:4">
      <c r="B14" s="51" t="s">
        <v>131</v>
      </c>
      <c r="C14" s="29">
        <f>WACC!E23</f>
        <v>0.3</v>
      </c>
    </row>
    <row r="15" spans="2:4">
      <c r="B15" t="s">
        <v>159</v>
      </c>
      <c r="C15" s="29">
        <f>WACC!K43</f>
        <v>0.15638021374747557</v>
      </c>
    </row>
    <row r="17" spans="2:3">
      <c r="B17" s="131" t="s">
        <v>310</v>
      </c>
    </row>
    <row r="19" spans="2:3">
      <c r="B19" s="133" t="s">
        <v>303</v>
      </c>
      <c r="C19" s="134" t="s">
        <v>304</v>
      </c>
    </row>
    <row r="20" spans="2:3">
      <c r="B20" t="s">
        <v>311</v>
      </c>
      <c r="C20" s="29">
        <f>DCF!D15</f>
        <v>0.14260712185402616</v>
      </c>
    </row>
    <row r="21" spans="2:3">
      <c r="B21" t="s">
        <v>265</v>
      </c>
      <c r="C21" s="29">
        <f>DCF!E8</f>
        <v>0.24110461390352503</v>
      </c>
    </row>
    <row r="23" spans="2:3">
      <c r="B23" s="131" t="s">
        <v>312</v>
      </c>
    </row>
    <row r="25" spans="2:3">
      <c r="B25" s="133" t="s">
        <v>303</v>
      </c>
      <c r="C25" s="134" t="s">
        <v>304</v>
      </c>
    </row>
    <row r="26" spans="2:3">
      <c r="B26" t="s">
        <v>279</v>
      </c>
      <c r="C26" s="29">
        <f>DCF!D16</f>
        <v>5.5E-2</v>
      </c>
    </row>
    <row r="29" spans="2:3">
      <c r="B29" s="53" t="s">
        <v>314</v>
      </c>
    </row>
    <row r="30" spans="2:3">
      <c r="B30" s="130" t="s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19C4-41B9-455A-AD2F-C21C2A6A5998}">
  <sheetPr>
    <tabColor rgb="FF0070C0"/>
  </sheetPr>
  <dimension ref="A1"/>
  <sheetViews>
    <sheetView workbookViewId="0">
      <selection activeCell="I20" sqref="I20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67D7-72FC-4AF6-8A88-225499D15DD5}">
  <dimension ref="B2:K43"/>
  <sheetViews>
    <sheetView showGridLines="0" topLeftCell="A20" zoomScale="90" zoomScaleNormal="90" workbookViewId="0">
      <selection activeCell="E31" sqref="E31"/>
    </sheetView>
  </sheetViews>
  <sheetFormatPr defaultRowHeight="14.4"/>
  <cols>
    <col min="1" max="1" width="1.88671875" customWidth="1"/>
    <col min="2" max="2" width="25.44140625" customWidth="1"/>
    <col min="5" max="5" width="9.5546875" bestFit="1" customWidth="1"/>
    <col min="6" max="6" width="11.109375" bestFit="1" customWidth="1"/>
  </cols>
  <sheetData>
    <row r="2" spans="2:11" ht="18">
      <c r="B2" s="33" t="s">
        <v>124</v>
      </c>
      <c r="C2" s="33"/>
      <c r="D2" s="33"/>
      <c r="E2" s="33"/>
      <c r="F2" s="33"/>
      <c r="G2" s="33"/>
      <c r="H2" s="33"/>
      <c r="I2" s="33"/>
      <c r="J2" s="33"/>
      <c r="K2" s="33"/>
    </row>
    <row r="4" spans="2:11">
      <c r="B4" s="34" t="s">
        <v>125</v>
      </c>
    </row>
    <row r="6" spans="2:11">
      <c r="B6" s="35" t="s">
        <v>126</v>
      </c>
      <c r="C6" s="35"/>
      <c r="D6" s="35"/>
      <c r="E6" s="35"/>
      <c r="F6" s="35"/>
      <c r="G6" s="35"/>
      <c r="H6" s="35"/>
      <c r="I6" s="35"/>
      <c r="J6" s="35"/>
      <c r="K6" s="35"/>
    </row>
    <row r="7" spans="2:11">
      <c r="H7" t="s">
        <v>132</v>
      </c>
      <c r="I7" t="s">
        <v>132</v>
      </c>
      <c r="J7" t="s">
        <v>135</v>
      </c>
      <c r="K7" t="s">
        <v>136</v>
      </c>
    </row>
    <row r="8" spans="2:11" ht="16.2">
      <c r="B8" s="35" t="s">
        <v>127</v>
      </c>
      <c r="C8" s="35"/>
      <c r="D8" s="35" t="s">
        <v>128</v>
      </c>
      <c r="E8" s="35" t="s">
        <v>129</v>
      </c>
      <c r="F8" s="35" t="s">
        <v>130</v>
      </c>
      <c r="G8" s="35" t="s">
        <v>131</v>
      </c>
      <c r="H8" s="35" t="s">
        <v>133</v>
      </c>
      <c r="I8" s="35" t="s">
        <v>134</v>
      </c>
      <c r="J8" s="35" t="s">
        <v>137</v>
      </c>
      <c r="K8" s="35" t="s">
        <v>138</v>
      </c>
    </row>
    <row r="10" spans="2:11">
      <c r="B10" s="36" t="s">
        <v>165</v>
      </c>
      <c r="C10" s="36"/>
      <c r="D10" s="36" t="s">
        <v>139</v>
      </c>
      <c r="E10" s="39">
        <f>'Beta Comps'!E5</f>
        <v>10932</v>
      </c>
      <c r="F10" s="36">
        <f>'Beta Comps'!F5</f>
        <v>871979.34</v>
      </c>
      <c r="G10" s="37">
        <v>0.3</v>
      </c>
      <c r="H10" s="67">
        <f>E10/F10</f>
        <v>1.253699428245628E-2</v>
      </c>
      <c r="I10" s="67">
        <f>E10/(E10+F10)</f>
        <v>1.2381764175777831E-2</v>
      </c>
      <c r="J10" s="39">
        <v>1.06</v>
      </c>
      <c r="K10" s="66">
        <f>J10/(1+(1-G10)*H10)</f>
        <v>1.0507784773659943</v>
      </c>
    </row>
    <row r="11" spans="2:11">
      <c r="B11" s="36" t="s">
        <v>152</v>
      </c>
      <c r="C11" s="36"/>
      <c r="D11" s="36" t="s">
        <v>139</v>
      </c>
      <c r="E11" s="39">
        <f>'Beta Comps'!E6</f>
        <v>8796</v>
      </c>
      <c r="F11" s="36">
        <f>'Beta Comps'!F6</f>
        <v>506214.48</v>
      </c>
      <c r="G11" s="37">
        <v>0.3</v>
      </c>
      <c r="H11" s="67">
        <f t="shared" ref="H11:H14" si="0">E11/F11</f>
        <v>1.7376033968842613E-2</v>
      </c>
      <c r="I11" s="67">
        <f t="shared" ref="I11:I14" si="1">E11/(E11+F11)</f>
        <v>1.7079264095751993E-2</v>
      </c>
      <c r="J11" s="39">
        <v>0.84</v>
      </c>
      <c r="K11" s="66">
        <f t="shared" ref="K11:K14" si="2">J11/(1+(1-G11)*H11)</f>
        <v>0.82990567160152173</v>
      </c>
    </row>
    <row r="12" spans="2:11">
      <c r="B12" s="36" t="s">
        <v>166</v>
      </c>
      <c r="C12" s="36"/>
      <c r="D12" s="36" t="s">
        <v>139</v>
      </c>
      <c r="E12" s="39">
        <f>'Beta Comps'!E7</f>
        <v>6780</v>
      </c>
      <c r="F12" s="36">
        <f>'Beta Comps'!F7</f>
        <v>359576.51</v>
      </c>
      <c r="G12" s="37">
        <v>0.3</v>
      </c>
      <c r="H12" s="67">
        <f t="shared" si="0"/>
        <v>1.8855514226999978E-2</v>
      </c>
      <c r="I12" s="67">
        <f t="shared" si="1"/>
        <v>1.8506563456453934E-2</v>
      </c>
      <c r="J12" s="39">
        <v>0.95</v>
      </c>
      <c r="K12" s="66">
        <f t="shared" si="2"/>
        <v>0.93762442650057498</v>
      </c>
    </row>
    <row r="13" spans="2:11">
      <c r="B13" s="36" t="s">
        <v>167</v>
      </c>
      <c r="C13" s="36"/>
      <c r="D13" s="36" t="s">
        <v>139</v>
      </c>
      <c r="E13" s="39">
        <f>'Beta Comps'!E8</f>
        <v>16163.7</v>
      </c>
      <c r="F13" s="36">
        <f>'Beta Comps'!F8</f>
        <v>207335.47</v>
      </c>
      <c r="G13" s="37">
        <v>0.3</v>
      </c>
      <c r="H13" s="67">
        <f t="shared" si="0"/>
        <v>7.7959164440122089E-2</v>
      </c>
      <c r="I13" s="67">
        <f t="shared" si="1"/>
        <v>7.232107394403299E-2</v>
      </c>
      <c r="J13" s="39">
        <v>0.93</v>
      </c>
      <c r="K13" s="66">
        <f t="shared" si="2"/>
        <v>0.88187484192778187</v>
      </c>
    </row>
    <row r="14" spans="2:11">
      <c r="B14" s="36" t="s">
        <v>168</v>
      </c>
      <c r="C14" s="36"/>
      <c r="D14" s="36" t="s">
        <v>139</v>
      </c>
      <c r="E14" s="39">
        <f>'Beta Comps'!E9</f>
        <v>1954.4</v>
      </c>
      <c r="F14" s="36">
        <f>'Beta Comps'!F9</f>
        <v>130551.18</v>
      </c>
      <c r="G14" s="37">
        <v>0.3</v>
      </c>
      <c r="H14" s="67">
        <f t="shared" si="0"/>
        <v>1.4970374070919928E-2</v>
      </c>
      <c r="I14" s="67">
        <f t="shared" si="1"/>
        <v>1.4749567527646763E-2</v>
      </c>
      <c r="J14" s="39">
        <v>1.01</v>
      </c>
      <c r="K14" s="66">
        <f t="shared" si="2"/>
        <v>0.99952570837647214</v>
      </c>
    </row>
    <row r="16" spans="2:11">
      <c r="F16" s="40" t="s">
        <v>140</v>
      </c>
      <c r="G16" s="41">
        <f>AVERAGE(G10:G14)</f>
        <v>0.3</v>
      </c>
      <c r="H16" s="41">
        <f t="shared" ref="H16:K16" si="3">AVERAGE(H10:H14)</f>
        <v>2.8339616197868171E-2</v>
      </c>
      <c r="I16" s="41">
        <f t="shared" si="3"/>
        <v>2.7007646639932704E-2</v>
      </c>
      <c r="J16" s="42">
        <f t="shared" si="3"/>
        <v>0.95799999999999996</v>
      </c>
      <c r="K16" s="42">
        <f t="shared" si="3"/>
        <v>0.939941825154469</v>
      </c>
    </row>
    <row r="17" spans="2:11">
      <c r="F17" s="43" t="s">
        <v>119</v>
      </c>
      <c r="G17" s="44">
        <f>MEDIAN(G10:G14)</f>
        <v>0.3</v>
      </c>
      <c r="H17" s="44">
        <f t="shared" ref="H17:K17" si="4">MEDIAN(H10:H14)</f>
        <v>1.7376033968842613E-2</v>
      </c>
      <c r="I17" s="44">
        <f t="shared" si="4"/>
        <v>1.7079264095751993E-2</v>
      </c>
      <c r="J17" s="45">
        <f t="shared" si="4"/>
        <v>0.95</v>
      </c>
      <c r="K17" s="45">
        <f t="shared" si="4"/>
        <v>0.93762442650057498</v>
      </c>
    </row>
    <row r="20" spans="2:11">
      <c r="B20" s="43" t="s">
        <v>141</v>
      </c>
      <c r="C20" s="35"/>
      <c r="D20" s="35"/>
      <c r="E20" s="35"/>
      <c r="G20" s="43" t="s">
        <v>144</v>
      </c>
      <c r="H20" s="35"/>
      <c r="I20" s="35"/>
      <c r="J20" s="35"/>
      <c r="K20" s="35"/>
    </row>
    <row r="22" spans="2:11">
      <c r="B22" t="s">
        <v>142</v>
      </c>
      <c r="E22" s="76">
        <f>413/10932</f>
        <v>3.7778997438712041E-2</v>
      </c>
      <c r="G22" t="s">
        <v>145</v>
      </c>
      <c r="K22" s="37">
        <v>6.6790000000000002E-2</v>
      </c>
    </row>
    <row r="23" spans="2:11">
      <c r="B23" t="s">
        <v>131</v>
      </c>
      <c r="E23" s="29">
        <f>G17</f>
        <v>0.3</v>
      </c>
      <c r="G23" t="s">
        <v>146</v>
      </c>
      <c r="K23" s="29">
        <f>Rm!G7-WACC!K22</f>
        <v>9.7502307692307708E-2</v>
      </c>
    </row>
    <row r="24" spans="2:11" ht="16.2">
      <c r="B24" s="46" t="s">
        <v>143</v>
      </c>
      <c r="C24" s="46"/>
      <c r="D24" s="46"/>
      <c r="E24" s="74">
        <f>E22*(1-E23)</f>
        <v>2.6445298207098428E-2</v>
      </c>
      <c r="G24" t="s">
        <v>148</v>
      </c>
      <c r="K24" s="38">
        <f>K33</f>
        <v>0.95584257628676161</v>
      </c>
    </row>
    <row r="25" spans="2:11">
      <c r="G25" s="46" t="s">
        <v>144</v>
      </c>
      <c r="H25" s="46"/>
      <c r="I25" s="46"/>
      <c r="J25" s="46"/>
      <c r="K25" s="74">
        <f>K22+(K23*K24)</f>
        <v>0.15998685697851994</v>
      </c>
    </row>
    <row r="28" spans="2:11">
      <c r="B28" s="43" t="s">
        <v>149</v>
      </c>
      <c r="C28" s="43"/>
      <c r="D28" s="43"/>
      <c r="E28" s="43"/>
      <c r="G28" s="43" t="s">
        <v>147</v>
      </c>
      <c r="H28" s="43"/>
      <c r="I28" s="43"/>
      <c r="J28" s="43"/>
      <c r="K28" s="43"/>
    </row>
    <row r="30" spans="2:11">
      <c r="D30" s="43" t="s">
        <v>150</v>
      </c>
      <c r="E30" s="43" t="s">
        <v>151</v>
      </c>
      <c r="G30" t="s">
        <v>155</v>
      </c>
      <c r="K30" s="38">
        <f>K17</f>
        <v>0.93762442650057498</v>
      </c>
    </row>
    <row r="31" spans="2:11">
      <c r="B31" t="s">
        <v>129</v>
      </c>
      <c r="C31" s="36">
        <f>E11</f>
        <v>8796</v>
      </c>
      <c r="D31" s="10">
        <f>C31/$C$33</f>
        <v>1.7079264095751993E-2</v>
      </c>
      <c r="E31" s="37">
        <f>I16</f>
        <v>2.7007646639932704E-2</v>
      </c>
      <c r="G31" t="s">
        <v>156</v>
      </c>
      <c r="K31" s="29">
        <f>E35</f>
        <v>2.7757306156277885E-2</v>
      </c>
    </row>
    <row r="32" spans="2:11">
      <c r="B32" t="s">
        <v>43</v>
      </c>
      <c r="C32" s="36">
        <f>F11</f>
        <v>506214.48</v>
      </c>
      <c r="D32" s="10">
        <f t="shared" ref="D32:D33" si="5">C32/$C$33</f>
        <v>0.982920735904248</v>
      </c>
      <c r="E32" s="29">
        <f>E33-E31</f>
        <v>0.97299235336006729</v>
      </c>
      <c r="G32" t="s">
        <v>131</v>
      </c>
      <c r="K32" s="29">
        <f>E23</f>
        <v>0.3</v>
      </c>
    </row>
    <row r="33" spans="2:11">
      <c r="B33" s="46" t="s">
        <v>153</v>
      </c>
      <c r="C33" s="46">
        <f>C31+C32</f>
        <v>515010.48</v>
      </c>
      <c r="D33" s="47">
        <f t="shared" si="5"/>
        <v>1</v>
      </c>
      <c r="E33" s="48">
        <f>D33</f>
        <v>1</v>
      </c>
      <c r="G33" s="46" t="s">
        <v>147</v>
      </c>
      <c r="H33" s="46"/>
      <c r="I33" s="46"/>
      <c r="J33" s="46"/>
      <c r="K33" s="73">
        <f>K30*(1+(1-K32)*K31)</f>
        <v>0.95584257628676161</v>
      </c>
    </row>
    <row r="35" spans="2:11">
      <c r="B35" t="s">
        <v>154</v>
      </c>
      <c r="D35" s="29">
        <f>D31/D32</f>
        <v>1.7376033968842613E-2</v>
      </c>
      <c r="E35" s="29">
        <f t="shared" ref="E35" si="6">E31/E32</f>
        <v>2.7757306156277885E-2</v>
      </c>
      <c r="G35" s="43" t="s">
        <v>124</v>
      </c>
      <c r="H35" s="43"/>
      <c r="I35" s="43"/>
      <c r="J35" s="43"/>
      <c r="K35" s="43"/>
    </row>
    <row r="37" spans="2:11">
      <c r="B37" s="49" t="s">
        <v>160</v>
      </c>
      <c r="G37" t="s">
        <v>144</v>
      </c>
      <c r="K37" s="10">
        <f>K25</f>
        <v>0.15998685697851994</v>
      </c>
    </row>
    <row r="38" spans="2:11">
      <c r="B38" s="50" t="s">
        <v>161</v>
      </c>
      <c r="G38" t="s">
        <v>157</v>
      </c>
      <c r="K38" s="29">
        <f>E32</f>
        <v>0.97299235336006729</v>
      </c>
    </row>
    <row r="39" spans="2:11">
      <c r="B39" s="50" t="s">
        <v>162</v>
      </c>
    </row>
    <row r="40" spans="2:11">
      <c r="B40" s="50" t="s">
        <v>163</v>
      </c>
      <c r="G40" t="s">
        <v>141</v>
      </c>
      <c r="K40" s="10">
        <f>E24</f>
        <v>2.6445298207098428E-2</v>
      </c>
    </row>
    <row r="41" spans="2:11">
      <c r="B41" s="50" t="s">
        <v>164</v>
      </c>
      <c r="G41" t="s">
        <v>158</v>
      </c>
      <c r="K41" s="29">
        <f>E31</f>
        <v>2.7007646639932704E-2</v>
      </c>
    </row>
    <row r="43" spans="2:11">
      <c r="G43" s="9" t="s">
        <v>159</v>
      </c>
      <c r="H43" s="9"/>
      <c r="I43" s="9"/>
      <c r="J43" s="9"/>
      <c r="K43" s="75">
        <f>(K37*K38)+(K40*K41)</f>
        <v>0.15638021374747557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382C-4CD8-4A34-BF42-7A3834966A2F}">
  <sheetPr>
    <tabColor rgb="FF0070C0"/>
  </sheetPr>
  <dimension ref="A1"/>
  <sheetViews>
    <sheetView workbookViewId="0">
      <selection activeCell="E20" sqref="E20"/>
    </sheetView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A90F-9E12-4240-8E7E-6D07191CEDE7}">
  <dimension ref="B2:T67"/>
  <sheetViews>
    <sheetView showGridLines="0" zoomScaleNormal="100" workbookViewId="0">
      <selection activeCell="H10" sqref="H10"/>
    </sheetView>
  </sheetViews>
  <sheetFormatPr defaultRowHeight="14.4"/>
  <cols>
    <col min="1" max="1" width="1.88671875" customWidth="1"/>
    <col min="2" max="2" width="10.33203125" bestFit="1" customWidth="1"/>
    <col min="3" max="3" width="11.21875" bestFit="1" customWidth="1"/>
    <col min="5" max="5" width="11.6640625" bestFit="1" customWidth="1"/>
    <col min="6" max="6" width="11.5546875" bestFit="1" customWidth="1"/>
    <col min="9" max="9" width="18.33203125" customWidth="1"/>
  </cols>
  <sheetData>
    <row r="2" spans="2:13">
      <c r="B2" s="9" t="s">
        <v>169</v>
      </c>
    </row>
    <row r="4" spans="2:13">
      <c r="B4" s="124" t="s">
        <v>170</v>
      </c>
      <c r="C4" s="124"/>
      <c r="D4" s="124"/>
      <c r="F4" s="124" t="s">
        <v>181</v>
      </c>
      <c r="G4" s="124"/>
      <c r="I4" s="124" t="s">
        <v>182</v>
      </c>
      <c r="J4" s="124"/>
      <c r="L4" t="s">
        <v>187</v>
      </c>
      <c r="M4" s="38">
        <f>SLOPE(D8:D66,G8:G66)</f>
        <v>0.83788097947906359</v>
      </c>
    </row>
    <row r="5" spans="2:13">
      <c r="L5" t="s">
        <v>188</v>
      </c>
      <c r="M5" s="38">
        <f>_xlfn.COVARIANCE.S(D7:D66,G7:G66)/_xlfn.VAR.S(G7:G66)</f>
        <v>0.83788097947906404</v>
      </c>
    </row>
    <row r="6" spans="2:13">
      <c r="B6" s="55" t="s">
        <v>171</v>
      </c>
      <c r="C6" s="56" t="s">
        <v>172</v>
      </c>
      <c r="D6" s="56" t="s">
        <v>173</v>
      </c>
      <c r="F6" s="55" t="s">
        <v>172</v>
      </c>
      <c r="G6" s="56" t="s">
        <v>173</v>
      </c>
      <c r="I6" s="51" t="s">
        <v>183</v>
      </c>
      <c r="J6" s="38">
        <f>M7</f>
        <v>0.8378809794790637</v>
      </c>
    </row>
    <row r="7" spans="2:13">
      <c r="B7" s="68">
        <v>44287</v>
      </c>
      <c r="C7" s="70">
        <v>1192.26</v>
      </c>
      <c r="D7" s="52"/>
      <c r="E7" s="57"/>
      <c r="F7" s="69">
        <v>14631.1</v>
      </c>
      <c r="G7" s="52"/>
      <c r="I7" s="51" t="s">
        <v>184</v>
      </c>
      <c r="J7" s="64">
        <v>0.75</v>
      </c>
      <c r="L7" t="s">
        <v>189</v>
      </c>
      <c r="M7" s="38">
        <f>M26</f>
        <v>0.8378809794790637</v>
      </c>
    </row>
    <row r="8" spans="2:13">
      <c r="B8" s="68">
        <v>44317</v>
      </c>
      <c r="C8" s="70">
        <v>1226.95</v>
      </c>
      <c r="D8" s="59">
        <f>C8/C7-1</f>
        <v>2.9096002549779509E-2</v>
      </c>
      <c r="E8" s="57"/>
      <c r="F8" s="69">
        <v>15582.8</v>
      </c>
      <c r="G8" s="59">
        <f>F8/F7-1</f>
        <v>6.5046373820150105E-2</v>
      </c>
      <c r="I8" s="51"/>
    </row>
    <row r="9" spans="2:13">
      <c r="B9" s="68">
        <v>44348</v>
      </c>
      <c r="C9" s="70">
        <v>1406.63</v>
      </c>
      <c r="D9" s="59">
        <f t="shared" ref="D9:D66" si="0">C9/C8-1</f>
        <v>0.14644443538856522</v>
      </c>
      <c r="E9" s="57"/>
      <c r="F9" s="69">
        <v>15721.5</v>
      </c>
      <c r="G9" s="59">
        <f t="shared" ref="G9:G66" si="1">F9/F8-1</f>
        <v>8.9008393870164682E-3</v>
      </c>
      <c r="I9" s="51" t="s">
        <v>185</v>
      </c>
      <c r="J9" s="38">
        <v>1</v>
      </c>
      <c r="L9" t="s">
        <v>190</v>
      </c>
    </row>
    <row r="10" spans="2:13" ht="15" thickBot="1">
      <c r="B10" s="68">
        <v>44378</v>
      </c>
      <c r="C10" s="70">
        <v>1433.05</v>
      </c>
      <c r="D10" s="59">
        <f t="shared" si="0"/>
        <v>1.8782480112040645E-2</v>
      </c>
      <c r="E10" s="57"/>
      <c r="F10" s="69">
        <v>15763.05</v>
      </c>
      <c r="G10" s="59">
        <f t="shared" si="1"/>
        <v>2.6428775880162902E-3</v>
      </c>
      <c r="I10" s="51" t="s">
        <v>186</v>
      </c>
      <c r="J10" s="64">
        <v>0.25</v>
      </c>
    </row>
    <row r="11" spans="2:13">
      <c r="B11" s="68">
        <v>44409</v>
      </c>
      <c r="C11" s="70">
        <v>1518.43</v>
      </c>
      <c r="D11" s="59">
        <f t="shared" si="0"/>
        <v>5.9579219147971152E-2</v>
      </c>
      <c r="E11" s="57"/>
      <c r="F11" s="69">
        <v>17132.2</v>
      </c>
      <c r="G11" s="59">
        <f t="shared" si="1"/>
        <v>8.6858190515160638E-2</v>
      </c>
      <c r="L11" s="63" t="s">
        <v>191</v>
      </c>
      <c r="M11" s="63"/>
    </row>
    <row r="12" spans="2:13">
      <c r="B12" s="68">
        <v>44440</v>
      </c>
      <c r="C12" s="70">
        <v>1490.63</v>
      </c>
      <c r="D12" s="59">
        <f t="shared" si="0"/>
        <v>-1.8308384318012627E-2</v>
      </c>
      <c r="E12" s="57"/>
      <c r="F12" s="69">
        <v>17618.150000000001</v>
      </c>
      <c r="G12" s="59">
        <f t="shared" si="1"/>
        <v>2.8364716732235173E-2</v>
      </c>
      <c r="I12" s="65" t="s">
        <v>214</v>
      </c>
      <c r="J12" s="66">
        <f>(J6*J7)+(J9*J10)</f>
        <v>0.87841073460929775</v>
      </c>
      <c r="L12" t="s">
        <v>192</v>
      </c>
      <c r="M12">
        <v>0.42467809185805011</v>
      </c>
    </row>
    <row r="13" spans="2:13">
      <c r="B13" s="68">
        <v>44470</v>
      </c>
      <c r="C13" s="70">
        <v>1484</v>
      </c>
      <c r="D13" s="59">
        <f t="shared" si="0"/>
        <v>-4.4477838229474154E-3</v>
      </c>
      <c r="E13" s="57"/>
      <c r="F13" s="69">
        <v>17671.650000000001</v>
      </c>
      <c r="G13" s="59">
        <f t="shared" si="1"/>
        <v>3.0366411910445201E-3</v>
      </c>
      <c r="L13" t="s">
        <v>193</v>
      </c>
      <c r="M13">
        <v>0.18035148170419443</v>
      </c>
    </row>
    <row r="14" spans="2:13">
      <c r="B14" s="68">
        <v>44501</v>
      </c>
      <c r="C14" s="70">
        <v>1537.46</v>
      </c>
      <c r="D14" s="59">
        <f t="shared" si="0"/>
        <v>3.6024258760107841E-2</v>
      </c>
      <c r="E14" s="57"/>
      <c r="F14" s="69">
        <v>16983.2</v>
      </c>
      <c r="G14" s="59">
        <f t="shared" si="1"/>
        <v>-3.8957878862471818E-2</v>
      </c>
      <c r="L14" t="s">
        <v>194</v>
      </c>
      <c r="M14">
        <v>0.16597168313760136</v>
      </c>
    </row>
    <row r="15" spans="2:13">
      <c r="B15" s="68">
        <v>44531</v>
      </c>
      <c r="C15" s="70">
        <v>1694.64</v>
      </c>
      <c r="D15" s="59">
        <f t="shared" si="0"/>
        <v>0.10223355404368251</v>
      </c>
      <c r="E15" s="57"/>
      <c r="F15" s="69">
        <v>17354.05</v>
      </c>
      <c r="G15" s="59">
        <f t="shared" si="1"/>
        <v>2.1836285270149247E-2</v>
      </c>
      <c r="L15" t="s">
        <v>195</v>
      </c>
      <c r="M15">
        <v>6.7608411029322552E-2</v>
      </c>
    </row>
    <row r="16" spans="2:13" ht="15" thickBot="1">
      <c r="B16" s="68">
        <v>44562</v>
      </c>
      <c r="C16" s="70">
        <v>1558.6</v>
      </c>
      <c r="D16" s="59">
        <f t="shared" si="0"/>
        <v>-8.0276636925836864E-2</v>
      </c>
      <c r="E16" s="57"/>
      <c r="F16" s="69">
        <v>17339.849999999999</v>
      </c>
      <c r="G16" s="59">
        <f t="shared" si="1"/>
        <v>-8.1825279977876253E-4</v>
      </c>
      <c r="L16" s="61" t="s">
        <v>196</v>
      </c>
      <c r="M16" s="61">
        <v>59</v>
      </c>
    </row>
    <row r="17" spans="2:20">
      <c r="B17" s="68">
        <v>44593</v>
      </c>
      <c r="C17" s="70">
        <v>1540.1</v>
      </c>
      <c r="D17" s="59">
        <f t="shared" si="0"/>
        <v>-1.1869626587963533E-2</v>
      </c>
      <c r="E17" s="57"/>
      <c r="F17" s="69">
        <v>16793.900000000001</v>
      </c>
      <c r="G17" s="59">
        <f t="shared" si="1"/>
        <v>-3.1485278131010208E-2</v>
      </c>
    </row>
    <row r="18" spans="2:20" ht="15" thickBot="1">
      <c r="B18" s="68">
        <v>44621</v>
      </c>
      <c r="C18" s="70">
        <v>1711.79</v>
      </c>
      <c r="D18" s="59">
        <f t="shared" si="0"/>
        <v>0.1114797740406468</v>
      </c>
      <c r="E18" s="57"/>
      <c r="F18" s="69">
        <v>17464.75</v>
      </c>
      <c r="G18" s="59">
        <f t="shared" si="1"/>
        <v>3.9946051840251462E-2</v>
      </c>
      <c r="L18" t="s">
        <v>197</v>
      </c>
    </row>
    <row r="19" spans="2:20">
      <c r="B19" s="68">
        <v>44652</v>
      </c>
      <c r="C19" s="70">
        <v>1407.2</v>
      </c>
      <c r="D19" s="59">
        <f t="shared" si="0"/>
        <v>-0.17793654595481923</v>
      </c>
      <c r="E19" s="57"/>
      <c r="F19" s="69">
        <v>17102.55</v>
      </c>
      <c r="G19" s="59">
        <f t="shared" si="1"/>
        <v>-2.0738916961307807E-2</v>
      </c>
      <c r="L19" s="62"/>
      <c r="M19" s="62" t="s">
        <v>201</v>
      </c>
      <c r="N19" s="62" t="s">
        <v>202</v>
      </c>
      <c r="O19" s="62" t="s">
        <v>203</v>
      </c>
      <c r="P19" s="62" t="s">
        <v>204</v>
      </c>
      <c r="Q19" s="62" t="s">
        <v>205</v>
      </c>
    </row>
    <row r="20" spans="2:20">
      <c r="B20" s="68">
        <v>44682</v>
      </c>
      <c r="C20" s="70">
        <v>1349.79</v>
      </c>
      <c r="D20" s="59">
        <f t="shared" si="0"/>
        <v>-4.0797328027288304E-2</v>
      </c>
      <c r="E20" s="57"/>
      <c r="F20" s="69">
        <v>16584.55</v>
      </c>
      <c r="G20" s="59">
        <f t="shared" si="1"/>
        <v>-3.0287881046978327E-2</v>
      </c>
      <c r="L20" t="s">
        <v>198</v>
      </c>
      <c r="M20">
        <v>1</v>
      </c>
      <c r="N20">
        <v>5.7328208491822075E-2</v>
      </c>
      <c r="O20">
        <v>5.7328208491822075E-2</v>
      </c>
      <c r="P20">
        <v>12.542003343717495</v>
      </c>
      <c r="Q20">
        <v>8.0105446709797829E-4</v>
      </c>
    </row>
    <row r="21" spans="2:20">
      <c r="B21" s="68">
        <v>44713</v>
      </c>
      <c r="C21" s="70">
        <v>1326.25</v>
      </c>
      <c r="D21" s="59">
        <f t="shared" si="0"/>
        <v>-1.7439749887019462E-2</v>
      </c>
      <c r="E21" s="57"/>
      <c r="F21" s="69">
        <v>15780.25</v>
      </c>
      <c r="G21" s="59">
        <f t="shared" si="1"/>
        <v>-4.8496944445281853E-2</v>
      </c>
      <c r="L21" t="s">
        <v>199</v>
      </c>
      <c r="M21">
        <v>57</v>
      </c>
      <c r="N21">
        <v>0.26054114278885993</v>
      </c>
      <c r="O21">
        <v>4.5708972419098229E-3</v>
      </c>
    </row>
    <row r="22" spans="2:20" ht="15" thickBot="1">
      <c r="B22" s="68">
        <v>44743</v>
      </c>
      <c r="C22" s="70">
        <v>1405.91</v>
      </c>
      <c r="D22" s="59">
        <f t="shared" si="0"/>
        <v>6.0064090480678622E-2</v>
      </c>
      <c r="E22" s="57"/>
      <c r="F22" s="69">
        <v>17158.25</v>
      </c>
      <c r="G22" s="59">
        <f t="shared" si="1"/>
        <v>8.7324345305048956E-2</v>
      </c>
      <c r="L22" s="61" t="s">
        <v>12</v>
      </c>
      <c r="M22" s="61">
        <v>58</v>
      </c>
      <c r="N22" s="61">
        <v>0.317869351280682</v>
      </c>
      <c r="O22" s="61"/>
      <c r="P22" s="61"/>
      <c r="Q22" s="61"/>
    </row>
    <row r="23" spans="2:20" ht="15" thickBot="1">
      <c r="B23" s="68">
        <v>44774</v>
      </c>
      <c r="C23" s="70">
        <v>1354.42</v>
      </c>
      <c r="D23" s="59">
        <f t="shared" si="0"/>
        <v>-3.6623965972217287E-2</v>
      </c>
      <c r="E23" s="57"/>
      <c r="F23" s="69">
        <v>17759.3</v>
      </c>
      <c r="G23" s="59">
        <f t="shared" si="1"/>
        <v>3.5029796162195925E-2</v>
      </c>
    </row>
    <row r="24" spans="2:20">
      <c r="B24" s="68">
        <v>44805</v>
      </c>
      <c r="C24" s="70">
        <v>1282.3</v>
      </c>
      <c r="D24" s="59">
        <f t="shared" si="0"/>
        <v>-5.3247884703415571E-2</v>
      </c>
      <c r="E24" s="57"/>
      <c r="F24" s="69">
        <v>17094.349999999999</v>
      </c>
      <c r="G24" s="59">
        <f t="shared" si="1"/>
        <v>-3.7442354146841383E-2</v>
      </c>
      <c r="L24" s="62"/>
      <c r="M24" s="62" t="s">
        <v>206</v>
      </c>
      <c r="N24" s="62" t="s">
        <v>195</v>
      </c>
      <c r="O24" s="62" t="s">
        <v>207</v>
      </c>
      <c r="P24" s="62" t="s">
        <v>208</v>
      </c>
      <c r="Q24" s="62" t="s">
        <v>209</v>
      </c>
      <c r="R24" s="62" t="s">
        <v>210</v>
      </c>
      <c r="S24" s="62" t="s">
        <v>211</v>
      </c>
      <c r="T24" s="62" t="s">
        <v>212</v>
      </c>
    </row>
    <row r="25" spans="2:20">
      <c r="B25" s="68">
        <v>44835</v>
      </c>
      <c r="C25" s="70">
        <v>1394.98</v>
      </c>
      <c r="D25" s="59">
        <f t="shared" si="0"/>
        <v>8.7873352569601604E-2</v>
      </c>
      <c r="E25" s="57"/>
      <c r="F25" s="69">
        <v>18012.2</v>
      </c>
      <c r="G25" s="59">
        <f t="shared" si="1"/>
        <v>5.3693179325332796E-2</v>
      </c>
      <c r="L25" t="s">
        <v>200</v>
      </c>
      <c r="M25">
        <v>-3.6005817711646498E-3</v>
      </c>
      <c r="N25">
        <v>9.0284253704163535E-3</v>
      </c>
      <c r="O25">
        <v>-0.39880506549489325</v>
      </c>
      <c r="P25">
        <v>0.69152697961988407</v>
      </c>
      <c r="Q25">
        <v>-2.1679691727210008E-2</v>
      </c>
      <c r="R25">
        <v>1.4478528184880711E-2</v>
      </c>
      <c r="S25">
        <v>-2.1679691727210008E-2</v>
      </c>
      <c r="T25">
        <v>1.4478528184880711E-2</v>
      </c>
    </row>
    <row r="26" spans="2:20" ht="15" thickBot="1">
      <c r="B26" s="68">
        <v>44866</v>
      </c>
      <c r="C26" s="70">
        <v>1499.46</v>
      </c>
      <c r="D26" s="59">
        <f t="shared" si="0"/>
        <v>7.4897131141665074E-2</v>
      </c>
      <c r="E26" s="57"/>
      <c r="F26" s="69">
        <v>18758.349999999999</v>
      </c>
      <c r="G26" s="59">
        <f t="shared" si="1"/>
        <v>4.1424701035964295E-2</v>
      </c>
      <c r="L26" s="61" t="s">
        <v>213</v>
      </c>
      <c r="M26" s="61">
        <v>0.8378809794790637</v>
      </c>
      <c r="N26" s="61">
        <v>0.23659135721385724</v>
      </c>
      <c r="O26" s="61">
        <v>3.5414690939943969</v>
      </c>
      <c r="P26" s="61">
        <v>8.0105446709797829E-4</v>
      </c>
      <c r="Q26" s="61">
        <v>0.36411495869153448</v>
      </c>
      <c r="R26" s="61">
        <v>1.311647000266593</v>
      </c>
      <c r="S26" s="61">
        <v>0.36411495869153448</v>
      </c>
      <c r="T26" s="61">
        <v>1.311647000266593</v>
      </c>
    </row>
    <row r="27" spans="2:20">
      <c r="B27" s="68">
        <v>44896</v>
      </c>
      <c r="C27" s="70">
        <v>1383.21</v>
      </c>
      <c r="D27" s="59">
        <f t="shared" si="0"/>
        <v>-7.7527910047617166E-2</v>
      </c>
      <c r="E27" s="57"/>
      <c r="F27" s="69">
        <v>18105.3</v>
      </c>
      <c r="G27" s="59">
        <f t="shared" si="1"/>
        <v>-3.4813829574562805E-2</v>
      </c>
    </row>
    <row r="28" spans="2:20">
      <c r="B28" s="68">
        <v>44927</v>
      </c>
      <c r="C28" s="70">
        <v>1406.64</v>
      </c>
      <c r="D28" s="59">
        <f t="shared" si="0"/>
        <v>1.6938859609169965E-2</v>
      </c>
      <c r="E28" s="57"/>
      <c r="F28" s="69">
        <v>17662.150000000001</v>
      </c>
      <c r="G28" s="59">
        <f t="shared" si="1"/>
        <v>-2.4476258333195111E-2</v>
      </c>
    </row>
    <row r="29" spans="2:20">
      <c r="B29" s="68">
        <v>44958</v>
      </c>
      <c r="C29" s="70">
        <v>1364.27</v>
      </c>
      <c r="D29" s="59">
        <f t="shared" si="0"/>
        <v>-3.0121424102826699E-2</v>
      </c>
      <c r="E29" s="57"/>
      <c r="F29" s="69">
        <v>17303.95</v>
      </c>
      <c r="G29" s="59">
        <f t="shared" si="1"/>
        <v>-2.0280656658447582E-2</v>
      </c>
    </row>
    <row r="30" spans="2:20">
      <c r="B30" s="68">
        <v>44986</v>
      </c>
      <c r="C30" s="70">
        <v>1309.6099999999999</v>
      </c>
      <c r="D30" s="59">
        <f t="shared" si="0"/>
        <v>-4.0065382952054973E-2</v>
      </c>
      <c r="E30" s="57"/>
      <c r="F30" s="69">
        <v>17359.75</v>
      </c>
      <c r="G30" s="59">
        <f t="shared" si="1"/>
        <v>3.2246972512055549E-3</v>
      </c>
    </row>
    <row r="31" spans="2:20">
      <c r="B31" s="68">
        <v>45017</v>
      </c>
      <c r="C31" s="70">
        <v>1148.93</v>
      </c>
      <c r="D31" s="59">
        <f t="shared" si="0"/>
        <v>-0.12269301547789024</v>
      </c>
      <c r="E31" s="57"/>
      <c r="F31" s="69">
        <v>18065</v>
      </c>
      <c r="G31" s="59">
        <f t="shared" si="1"/>
        <v>4.0625585045867663E-2</v>
      </c>
    </row>
    <row r="32" spans="2:20">
      <c r="B32" s="68">
        <v>45047</v>
      </c>
      <c r="C32" s="70">
        <v>1209.05</v>
      </c>
      <c r="D32" s="59">
        <f t="shared" si="0"/>
        <v>5.2326947681756053E-2</v>
      </c>
      <c r="E32" s="57"/>
      <c r="F32" s="69">
        <v>18534.400000000001</v>
      </c>
      <c r="G32" s="59">
        <f t="shared" si="1"/>
        <v>2.5983946858566309E-2</v>
      </c>
    </row>
    <row r="33" spans="2:7">
      <c r="B33" s="68">
        <v>45078</v>
      </c>
      <c r="C33" s="70">
        <v>1224.82</v>
      </c>
      <c r="D33" s="59">
        <f t="shared" si="0"/>
        <v>1.3043298457466657E-2</v>
      </c>
      <c r="E33" s="57"/>
      <c r="F33" s="69">
        <v>19189.05</v>
      </c>
      <c r="G33" s="59">
        <f t="shared" si="1"/>
        <v>3.5320808874309328E-2</v>
      </c>
    </row>
    <row r="34" spans="2:7">
      <c r="B34" s="68">
        <v>45108</v>
      </c>
      <c r="C34" s="70">
        <v>1260.06</v>
      </c>
      <c r="D34" s="59">
        <f t="shared" si="0"/>
        <v>2.8771574598716487E-2</v>
      </c>
      <c r="E34" s="57"/>
      <c r="F34" s="69">
        <v>19753.8</v>
      </c>
      <c r="G34" s="59">
        <f t="shared" si="1"/>
        <v>2.9430847280089489E-2</v>
      </c>
    </row>
    <row r="35" spans="2:7">
      <c r="B35" s="68">
        <v>45139</v>
      </c>
      <c r="C35" s="70">
        <v>1334.19</v>
      </c>
      <c r="D35" s="59">
        <f t="shared" si="0"/>
        <v>5.8830531879434433E-2</v>
      </c>
      <c r="E35" s="57"/>
      <c r="F35" s="69">
        <v>19253.8</v>
      </c>
      <c r="G35" s="59">
        <f t="shared" si="1"/>
        <v>-2.5311585618969512E-2</v>
      </c>
    </row>
    <row r="36" spans="2:7">
      <c r="B36" s="68">
        <v>45170</v>
      </c>
      <c r="C36" s="70">
        <v>1334.19</v>
      </c>
      <c r="D36" s="59">
        <f t="shared" si="0"/>
        <v>0</v>
      </c>
      <c r="E36" s="57"/>
      <c r="F36" s="69">
        <v>19638.3</v>
      </c>
      <c r="G36" s="59">
        <f t="shared" si="1"/>
        <v>1.9970083827608009E-2</v>
      </c>
    </row>
    <row r="37" spans="2:7">
      <c r="B37" s="68">
        <v>45200</v>
      </c>
      <c r="C37" s="70">
        <v>1271.8699999999999</v>
      </c>
      <c r="D37" s="59">
        <f t="shared" si="0"/>
        <v>-4.6709988832175475E-2</v>
      </c>
      <c r="E37" s="57"/>
      <c r="F37" s="69">
        <v>19079.599999999999</v>
      </c>
      <c r="G37" s="59">
        <f t="shared" si="1"/>
        <v>-2.844950937708457E-2</v>
      </c>
    </row>
    <row r="38" spans="2:7">
      <c r="B38" s="68">
        <v>45231</v>
      </c>
      <c r="C38" s="70">
        <v>1370</v>
      </c>
      <c r="D38" s="59">
        <f t="shared" si="0"/>
        <v>7.7154111662355529E-2</v>
      </c>
      <c r="E38" s="57"/>
      <c r="F38" s="69">
        <v>20133.150000000001</v>
      </c>
      <c r="G38" s="59">
        <f t="shared" si="1"/>
        <v>5.5218662865049728E-2</v>
      </c>
    </row>
    <row r="39" spans="2:7">
      <c r="B39" s="68">
        <v>45261</v>
      </c>
      <c r="C39" s="70">
        <v>1452.62</v>
      </c>
      <c r="D39" s="59">
        <f t="shared" si="0"/>
        <v>6.0306569343065553E-2</v>
      </c>
      <c r="E39" s="57"/>
      <c r="F39" s="69">
        <v>21731.4</v>
      </c>
      <c r="G39" s="59">
        <f t="shared" si="1"/>
        <v>7.9384001013254268E-2</v>
      </c>
    </row>
    <row r="40" spans="2:7">
      <c r="B40" s="68">
        <v>45292</v>
      </c>
      <c r="C40" s="70">
        <v>1563.71</v>
      </c>
      <c r="D40" s="59">
        <f t="shared" si="0"/>
        <v>7.6475609588192439E-2</v>
      </c>
      <c r="E40" s="57"/>
      <c r="F40" s="69">
        <v>21725.7</v>
      </c>
      <c r="G40" s="59">
        <f t="shared" si="1"/>
        <v>-2.6229327148741266E-4</v>
      </c>
    </row>
    <row r="41" spans="2:7">
      <c r="B41" s="68">
        <v>45323</v>
      </c>
      <c r="C41" s="70">
        <v>1575.95</v>
      </c>
      <c r="D41" s="59">
        <f t="shared" si="0"/>
        <v>7.8275383542985022E-3</v>
      </c>
      <c r="E41" s="57"/>
      <c r="F41" s="69">
        <v>21982.799999999999</v>
      </c>
      <c r="G41" s="59">
        <f t="shared" si="1"/>
        <v>1.1833910990209695E-2</v>
      </c>
    </row>
    <row r="42" spans="2:7">
      <c r="B42" s="68">
        <v>45352</v>
      </c>
      <c r="C42" s="70">
        <v>1410.39</v>
      </c>
      <c r="D42" s="59">
        <f t="shared" si="0"/>
        <v>-0.10505409435578539</v>
      </c>
      <c r="E42" s="57"/>
      <c r="F42" s="69">
        <v>22326.9</v>
      </c>
      <c r="G42" s="59">
        <f t="shared" si="1"/>
        <v>1.5653147005840973E-2</v>
      </c>
    </row>
    <row r="43" spans="2:7">
      <c r="B43" s="68">
        <v>45383</v>
      </c>
      <c r="C43" s="70">
        <v>1337.43</v>
      </c>
      <c r="D43" s="59">
        <f t="shared" si="0"/>
        <v>-5.1730372450173423E-2</v>
      </c>
      <c r="E43" s="57"/>
      <c r="F43" s="69">
        <v>22604.85</v>
      </c>
      <c r="G43" s="59">
        <f t="shared" si="1"/>
        <v>1.2449108474530624E-2</v>
      </c>
    </row>
    <row r="44" spans="2:7">
      <c r="B44" s="68">
        <v>45413</v>
      </c>
      <c r="C44" s="70">
        <v>1324.57</v>
      </c>
      <c r="D44" s="59">
        <f t="shared" si="0"/>
        <v>-9.615456509873499E-3</v>
      </c>
      <c r="E44" s="57"/>
      <c r="F44" s="69">
        <v>22530.7</v>
      </c>
      <c r="G44" s="59">
        <f t="shared" si="1"/>
        <v>-3.2802694996869608E-3</v>
      </c>
    </row>
    <row r="45" spans="2:7">
      <c r="B45" s="68">
        <v>45444</v>
      </c>
      <c r="C45" s="70">
        <v>1504.58</v>
      </c>
      <c r="D45" s="59">
        <f t="shared" si="0"/>
        <v>0.13590070739938254</v>
      </c>
      <c r="E45" s="57"/>
      <c r="F45" s="69">
        <v>24010.6</v>
      </c>
      <c r="G45" s="59">
        <f t="shared" si="1"/>
        <v>6.5683711558007341E-2</v>
      </c>
    </row>
    <row r="46" spans="2:7">
      <c r="B46" s="68">
        <v>45474</v>
      </c>
      <c r="C46" s="70">
        <v>1794.12</v>
      </c>
      <c r="D46" s="59">
        <f t="shared" si="0"/>
        <v>0.19243908599077475</v>
      </c>
      <c r="E46" s="57"/>
      <c r="F46" s="69">
        <v>24951.15</v>
      </c>
      <c r="G46" s="59">
        <f t="shared" si="1"/>
        <v>3.917228224200997E-2</v>
      </c>
    </row>
    <row r="47" spans="2:7">
      <c r="B47" s="68">
        <v>45505</v>
      </c>
      <c r="C47" s="70">
        <v>1866.58</v>
      </c>
      <c r="D47" s="59">
        <f t="shared" si="0"/>
        <v>4.0387488016409234E-2</v>
      </c>
      <c r="E47" s="57"/>
      <c r="F47" s="69">
        <v>25235.9</v>
      </c>
      <c r="G47" s="59">
        <f t="shared" si="1"/>
        <v>1.141229963348378E-2</v>
      </c>
    </row>
    <row r="48" spans="2:7">
      <c r="B48" s="68">
        <v>45536</v>
      </c>
      <c r="C48" s="70">
        <v>1801.18</v>
      </c>
      <c r="D48" s="59">
        <f t="shared" si="0"/>
        <v>-3.5037341019404367E-2</v>
      </c>
      <c r="E48" s="57"/>
      <c r="F48" s="69">
        <v>25810.85</v>
      </c>
      <c r="G48" s="59">
        <f t="shared" si="1"/>
        <v>2.2783019428670892E-2</v>
      </c>
    </row>
    <row r="49" spans="2:7">
      <c r="B49" s="68">
        <v>45566</v>
      </c>
      <c r="C49" s="70">
        <v>1687.53</v>
      </c>
      <c r="D49" s="59">
        <f t="shared" si="0"/>
        <v>-6.3097524955862294E-2</v>
      </c>
      <c r="E49" s="57"/>
      <c r="F49" s="69">
        <v>24205.35</v>
      </c>
      <c r="G49" s="59">
        <f t="shared" si="1"/>
        <v>-6.2202523357425266E-2</v>
      </c>
    </row>
    <row r="50" spans="2:7">
      <c r="B50" s="68">
        <v>45597</v>
      </c>
      <c r="C50" s="70">
        <v>1804.45</v>
      </c>
      <c r="D50" s="59">
        <f t="shared" si="0"/>
        <v>6.9284694198029184E-2</v>
      </c>
      <c r="E50" s="57"/>
      <c r="F50" s="69">
        <v>24131.1</v>
      </c>
      <c r="G50" s="59">
        <f t="shared" si="1"/>
        <v>-3.0675036717089377E-3</v>
      </c>
    </row>
    <row r="51" spans="2:7">
      <c r="B51" s="68">
        <v>45627</v>
      </c>
      <c r="C51" s="70">
        <v>1825.96</v>
      </c>
      <c r="D51" s="59">
        <f t="shared" si="0"/>
        <v>1.192052980132452E-2</v>
      </c>
      <c r="E51" s="57"/>
      <c r="F51" s="69">
        <v>23644.799999999999</v>
      </c>
      <c r="G51" s="59">
        <f t="shared" si="1"/>
        <v>-2.0152417419844082E-2</v>
      </c>
    </row>
    <row r="52" spans="2:7">
      <c r="B52" s="68">
        <v>45658</v>
      </c>
      <c r="C52" s="70">
        <v>1825.77</v>
      </c>
      <c r="D52" s="59">
        <f t="shared" si="0"/>
        <v>-1.0405485333742082E-4</v>
      </c>
      <c r="E52" s="57"/>
      <c r="F52" s="69">
        <v>23508.400000000001</v>
      </c>
      <c r="G52" s="59">
        <f t="shared" si="1"/>
        <v>-5.7687102449586192E-3</v>
      </c>
    </row>
    <row r="53" spans="2:7">
      <c r="B53" s="68">
        <v>45689</v>
      </c>
      <c r="C53" s="70">
        <v>1639.19</v>
      </c>
      <c r="D53" s="59">
        <f t="shared" si="0"/>
        <v>-0.10219249960290722</v>
      </c>
      <c r="E53" s="57"/>
      <c r="F53" s="69">
        <v>22124.7</v>
      </c>
      <c r="G53" s="59">
        <f t="shared" si="1"/>
        <v>-5.8859811811948104E-2</v>
      </c>
    </row>
    <row r="54" spans="2:7">
      <c r="B54" s="68">
        <v>45717</v>
      </c>
      <c r="C54" s="70">
        <v>1525.5</v>
      </c>
      <c r="D54" s="59">
        <f t="shared" si="0"/>
        <v>-6.9357426533836919E-2</v>
      </c>
      <c r="E54" s="57"/>
      <c r="F54" s="69">
        <v>23519.35</v>
      </c>
      <c r="G54" s="59">
        <f t="shared" si="1"/>
        <v>6.3035882972424462E-2</v>
      </c>
    </row>
    <row r="55" spans="2:7">
      <c r="B55" s="68">
        <v>45748</v>
      </c>
      <c r="C55" s="70">
        <v>1456.98</v>
      </c>
      <c r="D55" s="59">
        <f t="shared" si="0"/>
        <v>-4.4916420845624416E-2</v>
      </c>
      <c r="E55" s="57"/>
      <c r="F55" s="69">
        <v>24334.2</v>
      </c>
      <c r="G55" s="59">
        <f t="shared" si="1"/>
        <v>3.4645940470293679E-2</v>
      </c>
    </row>
    <row r="56" spans="2:7">
      <c r="B56" s="68">
        <v>45778</v>
      </c>
      <c r="C56" s="70">
        <v>1517.78</v>
      </c>
      <c r="D56" s="59">
        <f t="shared" si="0"/>
        <v>4.1730154154483889E-2</v>
      </c>
      <c r="E56" s="57"/>
      <c r="F56" s="69">
        <v>24750.7</v>
      </c>
      <c r="G56" s="59">
        <f t="shared" si="1"/>
        <v>1.7115828751304685E-2</v>
      </c>
    </row>
    <row r="57" spans="2:7">
      <c r="B57" s="68">
        <v>45809</v>
      </c>
      <c r="C57" s="70">
        <v>1577.65</v>
      </c>
      <c r="D57" s="59">
        <f t="shared" si="0"/>
        <v>3.9445769479107717E-2</v>
      </c>
      <c r="E57" s="57"/>
      <c r="F57" s="69">
        <v>25517.05</v>
      </c>
      <c r="G57" s="59">
        <f t="shared" si="1"/>
        <v>3.0962760649193788E-2</v>
      </c>
    </row>
    <row r="58" spans="2:7">
      <c r="B58" s="68">
        <v>45839</v>
      </c>
      <c r="C58" s="70">
        <v>1486.25</v>
      </c>
      <c r="D58" s="59">
        <f t="shared" si="0"/>
        <v>-5.7934269324628418E-2</v>
      </c>
      <c r="E58" s="57"/>
      <c r="F58" s="69">
        <v>24768.35</v>
      </c>
      <c r="G58" s="59">
        <f t="shared" si="1"/>
        <v>-2.9341166004691055E-2</v>
      </c>
    </row>
    <row r="59" spans="2:7">
      <c r="B59" s="68">
        <v>45870</v>
      </c>
      <c r="C59" s="70">
        <v>1447.44</v>
      </c>
      <c r="D59" s="59">
        <f t="shared" si="0"/>
        <v>-2.611269974768704E-2</v>
      </c>
      <c r="E59" s="57"/>
      <c r="F59" s="69">
        <v>24426.85</v>
      </c>
      <c r="G59" s="59">
        <f t="shared" si="1"/>
        <v>-1.3787757359694952E-2</v>
      </c>
    </row>
    <row r="60" spans="2:7">
      <c r="B60" s="68">
        <v>45901</v>
      </c>
      <c r="C60" s="70">
        <v>1420.06</v>
      </c>
      <c r="D60" s="59">
        <f t="shared" si="0"/>
        <v>-1.891615541922298E-2</v>
      </c>
      <c r="E60" s="57"/>
      <c r="F60" s="69">
        <v>24611.1</v>
      </c>
      <c r="G60" s="59">
        <f t="shared" si="1"/>
        <v>7.5429291947182175E-3</v>
      </c>
    </row>
    <row r="61" spans="2:7">
      <c r="B61" s="68">
        <v>45931</v>
      </c>
      <c r="C61" s="70">
        <v>1459.95</v>
      </c>
      <c r="D61" s="59">
        <f t="shared" si="0"/>
        <v>2.809036237905449E-2</v>
      </c>
      <c r="E61" s="57"/>
      <c r="F61" s="69">
        <v>25722.1</v>
      </c>
      <c r="G61" s="59">
        <f t="shared" si="1"/>
        <v>4.5142232569856722E-2</v>
      </c>
    </row>
    <row r="62" spans="2:7">
      <c r="B62" s="68">
        <v>45962</v>
      </c>
      <c r="C62" s="70">
        <v>1560.1</v>
      </c>
      <c r="D62" s="59">
        <f t="shared" si="0"/>
        <v>6.8598239665741856E-2</v>
      </c>
      <c r="E62" s="57"/>
      <c r="F62" s="69">
        <v>26202.95</v>
      </c>
      <c r="G62" s="59">
        <f t="shared" si="1"/>
        <v>1.8694041310779452E-2</v>
      </c>
    </row>
    <row r="63" spans="2:7">
      <c r="B63" s="68">
        <v>45992</v>
      </c>
      <c r="C63" s="70">
        <v>1615.4</v>
      </c>
      <c r="D63" s="59">
        <f t="shared" si="0"/>
        <v>3.5446445740657806E-2</v>
      </c>
      <c r="E63" s="57"/>
      <c r="F63" s="69">
        <v>26129.599999999999</v>
      </c>
      <c r="G63" s="59">
        <f t="shared" si="1"/>
        <v>-2.7993031318993555E-3</v>
      </c>
    </row>
    <row r="64" spans="2:7">
      <c r="B64" s="68">
        <v>46023</v>
      </c>
      <c r="C64" s="70">
        <v>1641</v>
      </c>
      <c r="D64" s="59">
        <f t="shared" si="0"/>
        <v>1.5847468119351227E-2</v>
      </c>
      <c r="E64" s="57"/>
      <c r="F64" s="69">
        <v>25320.65</v>
      </c>
      <c r="G64" s="59">
        <f t="shared" si="1"/>
        <v>-3.0959142122343852E-2</v>
      </c>
    </row>
    <row r="65" spans="2:7">
      <c r="B65" s="68">
        <v>46054</v>
      </c>
      <c r="C65" s="70">
        <v>1300.0999999999999</v>
      </c>
      <c r="D65" s="59">
        <f t="shared" si="0"/>
        <v>-0.20773918342474107</v>
      </c>
      <c r="E65" s="57"/>
      <c r="F65" s="69">
        <v>25178.65</v>
      </c>
      <c r="G65" s="59">
        <f t="shared" si="1"/>
        <v>-5.6080708828565307E-3</v>
      </c>
    </row>
    <row r="66" spans="2:7">
      <c r="B66" s="68">
        <v>46082</v>
      </c>
      <c r="C66" s="70">
        <v>1248.3</v>
      </c>
      <c r="D66" s="59">
        <f t="shared" si="0"/>
        <v>-3.9843088993154363E-2</v>
      </c>
      <c r="E66" s="57"/>
      <c r="F66" s="69">
        <v>23151.1</v>
      </c>
      <c r="G66" s="59">
        <f t="shared" si="1"/>
        <v>-8.0526557222091011E-2</v>
      </c>
    </row>
    <row r="67" spans="2:7">
      <c r="B67" s="58"/>
      <c r="D67" s="59"/>
      <c r="E67" s="57"/>
      <c r="F67" s="60"/>
      <c r="G67" s="59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4AF8-C37C-4BBD-92A9-4F1C434FBC4D}">
  <dimension ref="B4:G9"/>
  <sheetViews>
    <sheetView showGridLines="0" workbookViewId="0">
      <selection activeCell="B11" sqref="B11"/>
    </sheetView>
  </sheetViews>
  <sheetFormatPr defaultRowHeight="14.4"/>
  <cols>
    <col min="1" max="1" width="1.88671875" customWidth="1"/>
    <col min="2" max="2" width="5.44140625" bestFit="1" customWidth="1"/>
    <col min="3" max="3" width="15.44140625" bestFit="1" customWidth="1"/>
    <col min="4" max="4" width="7.6640625" bestFit="1" customWidth="1"/>
    <col min="5" max="5" width="10.109375" bestFit="1" customWidth="1"/>
    <col min="6" max="6" width="13.6640625" bestFit="1" customWidth="1"/>
    <col min="7" max="7" width="8.5546875" bestFit="1" customWidth="1"/>
  </cols>
  <sheetData>
    <row r="4" spans="2:7">
      <c r="B4" t="s">
        <v>174</v>
      </c>
      <c r="C4" t="s">
        <v>175</v>
      </c>
      <c r="D4" t="s">
        <v>176</v>
      </c>
      <c r="E4" t="s">
        <v>177</v>
      </c>
      <c r="F4" t="s">
        <v>178</v>
      </c>
      <c r="G4" t="s">
        <v>179</v>
      </c>
    </row>
    <row r="5" spans="2:7">
      <c r="B5">
        <v>1</v>
      </c>
      <c r="C5" t="s">
        <v>165</v>
      </c>
      <c r="D5">
        <v>2410.5</v>
      </c>
      <c r="E5">
        <v>10932</v>
      </c>
      <c r="F5">
        <v>871979.34</v>
      </c>
      <c r="G5">
        <v>0.1</v>
      </c>
    </row>
    <row r="6" spans="2:7">
      <c r="B6">
        <v>2</v>
      </c>
      <c r="C6" t="s">
        <v>180</v>
      </c>
      <c r="D6">
        <v>1248.3</v>
      </c>
      <c r="E6">
        <v>8796</v>
      </c>
      <c r="F6">
        <v>506214.48</v>
      </c>
      <c r="G6">
        <v>0.11</v>
      </c>
    </row>
    <row r="7" spans="2:7">
      <c r="B7">
        <v>3</v>
      </c>
      <c r="C7" t="s">
        <v>166</v>
      </c>
      <c r="D7">
        <v>1325.4</v>
      </c>
      <c r="E7">
        <v>6780</v>
      </c>
      <c r="F7">
        <v>359576.51</v>
      </c>
      <c r="G7">
        <v>0.1</v>
      </c>
    </row>
    <row r="8" spans="2:7">
      <c r="B8">
        <v>4</v>
      </c>
      <c r="C8" t="s">
        <v>167</v>
      </c>
      <c r="D8">
        <v>197.58</v>
      </c>
      <c r="E8">
        <v>16163.7</v>
      </c>
      <c r="F8">
        <v>207335.47</v>
      </c>
      <c r="G8">
        <v>0.19</v>
      </c>
    </row>
    <row r="9" spans="2:7">
      <c r="B9">
        <v>5</v>
      </c>
      <c r="C9" t="s">
        <v>168</v>
      </c>
      <c r="D9">
        <v>1332.8</v>
      </c>
      <c r="E9">
        <v>1954.4</v>
      </c>
      <c r="F9">
        <v>130551.18</v>
      </c>
      <c r="G9">
        <v>7.0000000000000007E-2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1B34-E8CA-42FE-BBA7-074580539727}">
  <dimension ref="B2:G31"/>
  <sheetViews>
    <sheetView showGridLines="0" topLeftCell="A2" zoomScale="90" zoomScaleNormal="90" workbookViewId="0">
      <selection activeCell="G5" sqref="G5"/>
    </sheetView>
  </sheetViews>
  <sheetFormatPr defaultRowHeight="14.4"/>
  <cols>
    <col min="1" max="1" width="1.88671875" customWidth="1"/>
    <col min="6" max="6" width="11.44140625" customWidth="1"/>
  </cols>
  <sheetData>
    <row r="2" spans="2:7">
      <c r="B2" s="77" t="s">
        <v>215</v>
      </c>
      <c r="C2" s="123"/>
    </row>
    <row r="4" spans="2:7">
      <c r="B4" s="53" t="s">
        <v>216</v>
      </c>
      <c r="C4" s="54" t="s">
        <v>217</v>
      </c>
    </row>
    <row r="5" spans="2:7">
      <c r="B5" s="51">
        <v>2000</v>
      </c>
      <c r="C5" s="10">
        <v>-0.14649999999999999</v>
      </c>
      <c r="E5" t="s">
        <v>218</v>
      </c>
      <c r="G5" s="29">
        <f>AVERAGE(C5:C30)</f>
        <v>0.1514923076923077</v>
      </c>
    </row>
    <row r="6" spans="2:7">
      <c r="B6" s="51">
        <v>2001</v>
      </c>
      <c r="C6" s="10">
        <v>-0.1618</v>
      </c>
      <c r="E6" t="s">
        <v>219</v>
      </c>
      <c r="G6" s="29">
        <v>1.2800000000000001E-2</v>
      </c>
    </row>
    <row r="7" spans="2:7">
      <c r="B7" s="51">
        <v>2002</v>
      </c>
      <c r="C7" s="10">
        <v>3.2500000000000001E-2</v>
      </c>
      <c r="E7" s="71" t="s">
        <v>220</v>
      </c>
      <c r="F7" s="71"/>
      <c r="G7" s="72">
        <f>G5+G6</f>
        <v>0.16429230769230771</v>
      </c>
    </row>
    <row r="8" spans="2:7">
      <c r="B8" s="51">
        <v>2003</v>
      </c>
      <c r="C8" s="10">
        <v>0.71900000000000008</v>
      </c>
    </row>
    <row r="9" spans="2:7">
      <c r="B9" s="51">
        <v>2004</v>
      </c>
      <c r="C9" s="10">
        <v>0.10679999999999999</v>
      </c>
    </row>
    <row r="10" spans="2:7">
      <c r="B10" s="51">
        <v>2005</v>
      </c>
      <c r="C10" s="10">
        <v>0.36340000000000006</v>
      </c>
    </row>
    <row r="11" spans="2:7">
      <c r="B11" s="51">
        <v>2006</v>
      </c>
      <c r="C11" s="10">
        <v>0.39829999999999999</v>
      </c>
    </row>
    <row r="12" spans="2:7">
      <c r="B12" s="51">
        <v>2007</v>
      </c>
      <c r="C12" s="10">
        <v>0.54770000000000008</v>
      </c>
    </row>
    <row r="13" spans="2:7">
      <c r="B13" s="51">
        <v>2008</v>
      </c>
      <c r="C13" s="10">
        <v>-0.51790000000000003</v>
      </c>
    </row>
    <row r="14" spans="2:7">
      <c r="B14" s="51">
        <v>2009</v>
      </c>
      <c r="C14" s="10">
        <v>0.75760000000000005</v>
      </c>
    </row>
    <row r="15" spans="2:7">
      <c r="B15" s="51">
        <v>2010</v>
      </c>
      <c r="C15" s="10">
        <v>0.17949999999999999</v>
      </c>
    </row>
    <row r="16" spans="2:7">
      <c r="B16" s="51">
        <v>2011</v>
      </c>
      <c r="C16" s="10">
        <v>-0.2462</v>
      </c>
    </row>
    <row r="17" spans="2:3">
      <c r="B17" s="51">
        <v>2012</v>
      </c>
      <c r="C17" s="10">
        <v>0.27699999999999997</v>
      </c>
    </row>
    <row r="18" spans="2:3">
      <c r="B18" s="51">
        <v>2013</v>
      </c>
      <c r="C18" s="10">
        <v>6.7599999999999993E-2</v>
      </c>
    </row>
    <row r="19" spans="2:3">
      <c r="B19" s="51">
        <v>2014</v>
      </c>
      <c r="C19" s="10">
        <v>0.31390000000000001</v>
      </c>
    </row>
    <row r="20" spans="2:3">
      <c r="B20" s="51">
        <v>2015</v>
      </c>
      <c r="C20" s="10">
        <v>-4.0599999999999997E-2</v>
      </c>
    </row>
    <row r="21" spans="2:3">
      <c r="B21" s="51">
        <v>2016</v>
      </c>
      <c r="C21" s="10">
        <v>3.0099999999999998E-2</v>
      </c>
    </row>
    <row r="22" spans="2:3">
      <c r="B22" s="51">
        <v>2017</v>
      </c>
      <c r="C22" s="10">
        <v>0.28649999999999998</v>
      </c>
    </row>
    <row r="23" spans="2:3">
      <c r="B23" s="51">
        <v>2018</v>
      </c>
      <c r="C23" s="10">
        <v>3.15E-2</v>
      </c>
    </row>
    <row r="24" spans="2:3">
      <c r="B24" s="51">
        <v>2019</v>
      </c>
      <c r="C24" s="10">
        <v>0.1202</v>
      </c>
    </row>
    <row r="25" spans="2:3">
      <c r="B25" s="51">
        <v>2020</v>
      </c>
      <c r="C25" s="10">
        <v>0.14899999999999999</v>
      </c>
    </row>
    <row r="26" spans="2:3">
      <c r="B26" s="51">
        <v>2021</v>
      </c>
      <c r="C26" s="10">
        <v>0.2412</v>
      </c>
    </row>
    <row r="27" spans="2:3">
      <c r="B27" s="51">
        <v>2022</v>
      </c>
      <c r="C27" s="10">
        <v>4.3200000000000002E-2</v>
      </c>
    </row>
    <row r="28" spans="2:3">
      <c r="B28" s="51">
        <v>2023</v>
      </c>
      <c r="C28" s="10">
        <v>0.19420000000000001</v>
      </c>
    </row>
    <row r="29" spans="2:3">
      <c r="B29" s="51">
        <v>2024</v>
      </c>
      <c r="C29" s="10">
        <v>8.7499999999999994E-2</v>
      </c>
    </row>
    <row r="30" spans="2:3">
      <c r="B30" s="51">
        <v>2025</v>
      </c>
      <c r="C30" s="10">
        <v>0.1051</v>
      </c>
    </row>
    <row r="31" spans="2:3">
      <c r="B31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7CEA-BB06-4C58-A0DF-996E84A5FB7E}">
  <dimension ref="A2:K63"/>
  <sheetViews>
    <sheetView showGridLines="0" topLeftCell="A10" zoomScaleNormal="100" workbookViewId="0">
      <selection activeCell="G46" sqref="G46"/>
    </sheetView>
  </sheetViews>
  <sheetFormatPr defaultRowHeight="14.4"/>
  <cols>
    <col min="1" max="1" width="1.88671875" customWidth="1"/>
    <col min="7" max="7" width="9.109375" bestFit="1" customWidth="1"/>
    <col min="8" max="8" width="15.77734375" customWidth="1"/>
    <col min="9" max="9" width="13.44140625" customWidth="1"/>
    <col min="10" max="10" width="13.33203125" customWidth="1"/>
    <col min="11" max="11" width="12.5546875" customWidth="1"/>
  </cols>
  <sheetData>
    <row r="2" spans="1:11">
      <c r="B2" s="77" t="s">
        <v>221</v>
      </c>
      <c r="C2" s="77"/>
      <c r="D2" s="77"/>
      <c r="E2" s="77"/>
      <c r="F2" s="77"/>
      <c r="G2" s="78">
        <f>'Raw FS'!J2</f>
        <v>44256</v>
      </c>
      <c r="H2" s="78">
        <f>'Raw FS'!K2</f>
        <v>44621</v>
      </c>
      <c r="I2" s="78">
        <f>'Raw FS'!L2</f>
        <v>44986</v>
      </c>
      <c r="J2" s="78">
        <f>'Raw FS'!M2</f>
        <v>45352</v>
      </c>
      <c r="K2" s="78">
        <f>'Raw FS'!N2</f>
        <v>45717</v>
      </c>
    </row>
    <row r="4" spans="1:11">
      <c r="B4" s="90" t="s">
        <v>250</v>
      </c>
      <c r="C4" s="91"/>
      <c r="D4" s="91"/>
      <c r="E4" s="91"/>
      <c r="F4" s="91"/>
      <c r="G4" s="91"/>
      <c r="H4" s="91"/>
      <c r="I4" s="91"/>
      <c r="J4" s="91"/>
      <c r="K4" s="91"/>
    </row>
    <row r="5" spans="1:11">
      <c r="B5" s="82" t="str">
        <f>'Raw FS'!B33</f>
        <v>Trade receivables</v>
      </c>
      <c r="C5" s="82"/>
      <c r="D5" s="82"/>
      <c r="E5" s="82"/>
      <c r="F5" s="82"/>
      <c r="G5" s="85">
        <f>'Raw FS'!J33</f>
        <v>19294</v>
      </c>
      <c r="H5" s="85">
        <f>'Raw FS'!K33</f>
        <v>22698</v>
      </c>
      <c r="I5" s="85">
        <f>'Raw FS'!L33</f>
        <v>25424</v>
      </c>
      <c r="J5" s="85">
        <f>'Raw FS'!M33</f>
        <v>30193</v>
      </c>
      <c r="K5" s="85">
        <f>'Raw FS'!N33</f>
        <v>31158</v>
      </c>
    </row>
    <row r="6" spans="1:11">
      <c r="B6" s="82" t="str">
        <f>'Raw FS'!B35</f>
        <v>Loans n Advances</v>
      </c>
      <c r="C6" s="82"/>
      <c r="D6" s="82"/>
      <c r="E6" s="82"/>
      <c r="F6" s="82"/>
      <c r="G6" s="85">
        <f>'Raw FS'!J35</f>
        <v>1460</v>
      </c>
      <c r="H6" s="85">
        <f>'Raw FS'!K35</f>
        <v>2491</v>
      </c>
      <c r="I6" s="85">
        <f>'Raw FS'!L35</f>
        <v>3242</v>
      </c>
      <c r="J6" s="85">
        <f>'Raw FS'!M35</f>
        <v>10330</v>
      </c>
      <c r="K6" s="85">
        <f>'Raw FS'!N35</f>
        <v>6717</v>
      </c>
    </row>
    <row r="7" spans="1:11">
      <c r="B7" t="str">
        <f>'Raw FS'!B36</f>
        <v>Other asset items</v>
      </c>
      <c r="G7" s="94">
        <f>'Raw FS'!J36</f>
        <v>21411</v>
      </c>
      <c r="H7" s="94">
        <f>'Raw FS'!K36</f>
        <v>27528</v>
      </c>
      <c r="I7" s="94">
        <f>'Raw FS'!L36</f>
        <v>34766</v>
      </c>
      <c r="J7" s="94">
        <f>'Raw FS'!M36</f>
        <v>29513</v>
      </c>
      <c r="K7" s="94">
        <f>'Raw FS'!N36</f>
        <v>30149</v>
      </c>
    </row>
    <row r="8" spans="1:11">
      <c r="B8" s="84" t="s">
        <v>105</v>
      </c>
      <c r="C8" s="84"/>
      <c r="D8" s="84"/>
      <c r="E8" s="84"/>
      <c r="F8" s="84"/>
      <c r="G8" s="95">
        <f>G5+G6+G7</f>
        <v>42165</v>
      </c>
      <c r="H8" s="95">
        <f t="shared" ref="H8:K8" si="0">H5+H6+H7</f>
        <v>52717</v>
      </c>
      <c r="I8" s="95">
        <f t="shared" si="0"/>
        <v>63432</v>
      </c>
      <c r="J8" s="95">
        <f t="shared" si="0"/>
        <v>70036</v>
      </c>
      <c r="K8" s="95">
        <f t="shared" si="0"/>
        <v>68024</v>
      </c>
    </row>
    <row r="9" spans="1:11">
      <c r="G9" s="94"/>
      <c r="H9" s="94"/>
      <c r="I9" s="94"/>
      <c r="J9" s="94"/>
      <c r="K9" s="94"/>
    </row>
    <row r="10" spans="1:11">
      <c r="B10" s="90" t="s">
        <v>251</v>
      </c>
      <c r="C10" s="91"/>
      <c r="D10" s="91"/>
      <c r="E10" s="91"/>
      <c r="F10" s="91"/>
      <c r="G10" s="96"/>
      <c r="H10" s="96"/>
      <c r="I10" s="96"/>
      <c r="J10" s="96"/>
      <c r="K10" s="96"/>
    </row>
    <row r="11" spans="1:11">
      <c r="B11" s="82" t="str">
        <f>'Raw FS'!B10</f>
        <v>Trade Payables</v>
      </c>
      <c r="C11" s="82"/>
      <c r="D11" s="82"/>
      <c r="E11" s="82"/>
      <c r="F11" s="82"/>
      <c r="G11" s="85">
        <f>'Raw FS'!J10</f>
        <v>2645</v>
      </c>
      <c r="H11" s="85">
        <f>'Raw FS'!K10</f>
        <v>4134</v>
      </c>
      <c r="I11" s="85">
        <f>'Raw FS'!L10</f>
        <v>3865</v>
      </c>
      <c r="J11" s="85">
        <f>'Raw FS'!M10</f>
        <v>3956</v>
      </c>
      <c r="K11" s="85">
        <f>'Raw FS'!N10</f>
        <v>4164</v>
      </c>
    </row>
    <row r="12" spans="1:11">
      <c r="B12" s="82" t="str">
        <f>'Raw FS'!B11</f>
        <v>Advance from Customers</v>
      </c>
      <c r="C12" s="82"/>
      <c r="D12" s="82"/>
      <c r="E12" s="82"/>
      <c r="F12" s="82"/>
      <c r="G12" s="85">
        <f>'Raw FS'!J11</f>
        <v>0</v>
      </c>
      <c r="H12" s="85">
        <f>'Raw FS'!K11</f>
        <v>0</v>
      </c>
      <c r="I12" s="85">
        <f>'Raw FS'!L11</f>
        <v>0</v>
      </c>
      <c r="J12" s="85">
        <f>'Raw FS'!M11</f>
        <v>0</v>
      </c>
      <c r="K12" s="85">
        <f>'Raw FS'!N11</f>
        <v>0</v>
      </c>
    </row>
    <row r="13" spans="1:11">
      <c r="B13" t="str">
        <f>'Raw FS'!B12</f>
        <v>Other liability items</v>
      </c>
      <c r="G13" s="94">
        <f>'Raw FS'!J12</f>
        <v>22759</v>
      </c>
      <c r="H13" s="94">
        <f>'Raw FS'!K12</f>
        <v>31385</v>
      </c>
      <c r="I13" s="94">
        <f>'Raw FS'!L12</f>
        <v>36637</v>
      </c>
      <c r="J13" s="94">
        <f>'Raw FS'!M12</f>
        <v>36584</v>
      </c>
      <c r="K13" s="94">
        <f>'Raw FS'!N12</f>
        <v>39201</v>
      </c>
    </row>
    <row r="14" spans="1:11">
      <c r="B14" s="84" t="s">
        <v>252</v>
      </c>
      <c r="C14" s="84"/>
      <c r="D14" s="84"/>
      <c r="E14" s="84"/>
      <c r="F14" s="84"/>
      <c r="G14" s="95">
        <f>G11+G12+G13</f>
        <v>25404</v>
      </c>
      <c r="H14" s="95">
        <f t="shared" ref="H14" si="1">H11+H12+H13</f>
        <v>35519</v>
      </c>
      <c r="I14" s="95">
        <f t="shared" ref="I14" si="2">I11+I12+I13</f>
        <v>40502</v>
      </c>
      <c r="J14" s="95">
        <f t="shared" ref="J14" si="3">J11+J12+J13</f>
        <v>40540</v>
      </c>
      <c r="K14" s="95">
        <f t="shared" ref="K14" si="4">K11+K12+K13</f>
        <v>43365</v>
      </c>
    </row>
    <row r="15" spans="1:11">
      <c r="G15" s="94"/>
      <c r="H15" s="94"/>
      <c r="I15" s="94"/>
      <c r="J15" s="94"/>
      <c r="K15" s="94"/>
    </row>
    <row r="16" spans="1:11" ht="15" thickBot="1">
      <c r="A16" t="s">
        <v>56</v>
      </c>
      <c r="B16" s="92" t="s">
        <v>253</v>
      </c>
      <c r="C16" s="92"/>
      <c r="D16" s="92"/>
      <c r="E16" s="92"/>
      <c r="F16" s="92"/>
      <c r="G16" s="97">
        <f>G8-G14</f>
        <v>16761</v>
      </c>
      <c r="H16" s="97">
        <f t="shared" ref="H16:K16" si="5">H8-H14</f>
        <v>17198</v>
      </c>
      <c r="I16" s="97">
        <f t="shared" si="5"/>
        <v>22930</v>
      </c>
      <c r="J16" s="97">
        <f t="shared" si="5"/>
        <v>29496</v>
      </c>
      <c r="K16" s="97">
        <f t="shared" si="5"/>
        <v>24659</v>
      </c>
    </row>
    <row r="17" spans="1:11">
      <c r="G17" s="94"/>
      <c r="H17" s="94"/>
      <c r="I17" s="94"/>
      <c r="J17" s="94"/>
      <c r="K17" s="94"/>
    </row>
    <row r="18" spans="1:11">
      <c r="B18" s="90" t="s">
        <v>254</v>
      </c>
      <c r="C18" s="91"/>
      <c r="D18" s="91"/>
      <c r="E18" s="91"/>
      <c r="F18" s="91"/>
      <c r="G18" s="96"/>
      <c r="H18" s="96"/>
      <c r="I18" s="96"/>
      <c r="J18" s="96"/>
      <c r="K18" s="96"/>
    </row>
    <row r="19" spans="1:11">
      <c r="B19" s="82" t="str">
        <f>'Raw FS'!B16</f>
        <v>Land</v>
      </c>
      <c r="C19" s="82"/>
      <c r="D19" s="82"/>
      <c r="E19" s="82"/>
      <c r="F19" s="82"/>
      <c r="G19" s="85">
        <f>'Raw FS'!J16</f>
        <v>2036</v>
      </c>
      <c r="H19" s="85">
        <f>'Raw FS'!K16</f>
        <v>2065</v>
      </c>
      <c r="I19" s="85">
        <f>'Raw FS'!L16</f>
        <v>2054</v>
      </c>
      <c r="J19" s="85">
        <f>'Raw FS'!M16</f>
        <v>2037</v>
      </c>
      <c r="K19" s="85">
        <f>'Raw FS'!N16</f>
        <v>2079</v>
      </c>
    </row>
    <row r="20" spans="1:11">
      <c r="B20" s="82" t="str">
        <f>'Raw FS'!B17</f>
        <v>Building</v>
      </c>
      <c r="C20" s="82"/>
      <c r="D20" s="82"/>
      <c r="E20" s="82"/>
      <c r="F20" s="82"/>
      <c r="G20" s="85">
        <f>'Raw FS'!J17</f>
        <v>16328</v>
      </c>
      <c r="H20" s="85">
        <f>'Raw FS'!K17</f>
        <v>16761</v>
      </c>
      <c r="I20" s="85">
        <f>'Raw FS'!L17</f>
        <v>16903</v>
      </c>
      <c r="J20" s="85">
        <f>'Raw FS'!M17</f>
        <v>16515</v>
      </c>
      <c r="K20" s="85">
        <f>'Raw FS'!N17</f>
        <v>16376</v>
      </c>
    </row>
    <row r="21" spans="1:11">
      <c r="B21" s="82" t="str">
        <f>'Raw FS'!B18</f>
        <v>Plant Machinery</v>
      </c>
      <c r="C21" s="82"/>
      <c r="D21" s="82"/>
      <c r="E21" s="82"/>
      <c r="F21" s="82"/>
      <c r="G21" s="85">
        <f>'Raw FS'!J18</f>
        <v>3296</v>
      </c>
      <c r="H21" s="85">
        <f>'Raw FS'!K18</f>
        <v>3210</v>
      </c>
      <c r="I21" s="85">
        <f>'Raw FS'!L18</f>
        <v>3302</v>
      </c>
      <c r="J21" s="85">
        <f>'Raw FS'!M18</f>
        <v>3428</v>
      </c>
      <c r="K21" s="85">
        <f>'Raw FS'!N18</f>
        <v>3461</v>
      </c>
    </row>
    <row r="22" spans="1:11">
      <c r="B22" s="82" t="str">
        <f>'Raw FS'!B19</f>
        <v>Equipments</v>
      </c>
      <c r="C22" s="82"/>
      <c r="D22" s="82"/>
      <c r="E22" s="82"/>
      <c r="F22" s="82"/>
      <c r="G22" s="85">
        <f>'Raw FS'!J19</f>
        <v>1371</v>
      </c>
      <c r="H22" s="85">
        <f>'Raw FS'!K19</f>
        <v>1427</v>
      </c>
      <c r="I22" s="85">
        <f>'Raw FS'!L19</f>
        <v>1482</v>
      </c>
      <c r="J22" s="85">
        <f>'Raw FS'!M19</f>
        <v>1528</v>
      </c>
      <c r="K22" s="85">
        <f>'Raw FS'!N19</f>
        <v>1628</v>
      </c>
    </row>
    <row r="23" spans="1:11">
      <c r="B23" s="82" t="str">
        <f>'Raw FS'!B20</f>
        <v>Computers</v>
      </c>
      <c r="C23" s="82"/>
      <c r="D23" s="82"/>
      <c r="E23" s="82"/>
      <c r="F23" s="82"/>
      <c r="G23" s="85">
        <f>'Raw FS'!J20</f>
        <v>8650</v>
      </c>
      <c r="H23" s="85">
        <f>'Raw FS'!K20</f>
        <v>9936</v>
      </c>
      <c r="I23" s="85">
        <f>'Raw FS'!L20</f>
        <v>11898</v>
      </c>
      <c r="J23" s="85">
        <f>'Raw FS'!M20</f>
        <v>12353</v>
      </c>
      <c r="K23" s="85">
        <f>'Raw FS'!N20</f>
        <v>12925</v>
      </c>
    </row>
    <row r="24" spans="1:11">
      <c r="B24" s="82" t="str">
        <f>'Raw FS'!B21</f>
        <v>Furniture n fittings</v>
      </c>
      <c r="C24" s="82"/>
      <c r="D24" s="82"/>
      <c r="E24" s="82"/>
      <c r="F24" s="82"/>
      <c r="G24" s="85">
        <f>'Raw FS'!J21</f>
        <v>2149</v>
      </c>
      <c r="H24" s="85">
        <f>'Raw FS'!K21</f>
        <v>2279</v>
      </c>
      <c r="I24" s="85">
        <f>'Raw FS'!L21</f>
        <v>2303</v>
      </c>
      <c r="J24" s="85">
        <f>'Raw FS'!M21</f>
        <v>2326</v>
      </c>
      <c r="K24" s="85">
        <f>'Raw FS'!N21</f>
        <v>2340</v>
      </c>
    </row>
    <row r="25" spans="1:11">
      <c r="B25" s="82" t="str">
        <f>'Raw FS'!B22</f>
        <v>Vehicles</v>
      </c>
      <c r="C25" s="82"/>
      <c r="D25" s="82"/>
      <c r="E25" s="82"/>
      <c r="F25" s="82"/>
      <c r="G25" s="85">
        <f>'Raw FS'!J22</f>
        <v>74</v>
      </c>
      <c r="H25" s="85">
        <f>'Raw FS'!K22</f>
        <v>71</v>
      </c>
      <c r="I25" s="85">
        <f>'Raw FS'!L22</f>
        <v>60</v>
      </c>
      <c r="J25" s="85">
        <f>'Raw FS'!M22</f>
        <v>62</v>
      </c>
      <c r="K25" s="85">
        <f>'Raw FS'!N22</f>
        <v>72</v>
      </c>
    </row>
    <row r="26" spans="1:11">
      <c r="B26" s="82" t="str">
        <f>'Raw FS'!B23</f>
        <v>Intangible Assets</v>
      </c>
      <c r="C26" s="82"/>
      <c r="D26" s="82"/>
      <c r="E26" s="82"/>
      <c r="F26" s="82"/>
      <c r="G26" s="85">
        <f>'Raw FS'!J23</f>
        <v>6372</v>
      </c>
      <c r="H26" s="85">
        <f>'Raw FS'!K23</f>
        <v>6495</v>
      </c>
      <c r="I26" s="85">
        <f>'Raw FS'!L23</f>
        <v>7594</v>
      </c>
      <c r="J26" s="85">
        <f>'Raw FS'!M23</f>
        <v>7653</v>
      </c>
      <c r="K26" s="85">
        <f>'Raw FS'!N23</f>
        <v>10626</v>
      </c>
    </row>
    <row r="27" spans="1:11">
      <c r="B27" s="82" t="str">
        <f>'Raw FS'!B24</f>
        <v>Other fixed assets</v>
      </c>
      <c r="C27" s="82"/>
      <c r="D27" s="82"/>
      <c r="E27" s="82"/>
      <c r="F27" s="82"/>
      <c r="G27" s="85">
        <f>'Raw FS'!J24</f>
        <v>2730</v>
      </c>
      <c r="H27" s="85">
        <f>'Raw FS'!K24</f>
        <v>2766</v>
      </c>
      <c r="I27" s="85">
        <f>'Raw FS'!L24</f>
        <v>3281</v>
      </c>
      <c r="J27" s="85">
        <f>'Raw FS'!M24</f>
        <v>3294</v>
      </c>
      <c r="K27" s="85">
        <f>'Raw FS'!N24</f>
        <v>5184</v>
      </c>
    </row>
    <row r="28" spans="1:11" ht="4.8" customHeight="1">
      <c r="G28" s="94"/>
      <c r="H28" s="94"/>
      <c r="I28" s="94"/>
      <c r="J28" s="94"/>
      <c r="K28" s="94"/>
    </row>
    <row r="29" spans="1:11">
      <c r="B29" s="84" t="s">
        <v>241</v>
      </c>
      <c r="C29" s="84"/>
      <c r="D29" s="84"/>
      <c r="E29" s="84"/>
      <c r="F29" s="84"/>
      <c r="G29" s="95">
        <f>SUM(G19:G27)</f>
        <v>43006</v>
      </c>
      <c r="H29" s="95">
        <f t="shared" ref="H29:K29" si="6">SUM(H19:H27)</f>
        <v>45010</v>
      </c>
      <c r="I29" s="95">
        <f t="shared" si="6"/>
        <v>48877</v>
      </c>
      <c r="J29" s="95">
        <f t="shared" si="6"/>
        <v>49196</v>
      </c>
      <c r="K29" s="95">
        <f t="shared" si="6"/>
        <v>54691</v>
      </c>
    </row>
    <row r="30" spans="1:11">
      <c r="B30" t="s">
        <v>242</v>
      </c>
      <c r="G30" s="94">
        <f>-'Raw FS'!J26</f>
        <v>-17501</v>
      </c>
      <c r="H30" s="94">
        <f>-'Raw FS'!K26</f>
        <v>-19210</v>
      </c>
      <c r="I30" s="94">
        <f>-'Raw FS'!L26</f>
        <v>-19652</v>
      </c>
      <c r="J30" s="94">
        <f>-'Raw FS'!M26</f>
        <v>-21574</v>
      </c>
      <c r="K30" s="94">
        <f>-'Raw FS'!N26</f>
        <v>-23730</v>
      </c>
    </row>
    <row r="31" spans="1:11" ht="15" thickBot="1">
      <c r="A31" t="s">
        <v>56</v>
      </c>
      <c r="B31" s="92" t="s">
        <v>255</v>
      </c>
      <c r="C31" s="92"/>
      <c r="D31" s="92"/>
      <c r="E31" s="92"/>
      <c r="F31" s="92"/>
      <c r="G31" s="97">
        <f>G29+G30</f>
        <v>25505</v>
      </c>
      <c r="H31" s="97">
        <f t="shared" ref="H31:K31" si="7">H29+H30</f>
        <v>25800</v>
      </c>
      <c r="I31" s="97">
        <f t="shared" si="7"/>
        <v>29225</v>
      </c>
      <c r="J31" s="97">
        <f t="shared" si="7"/>
        <v>27622</v>
      </c>
      <c r="K31" s="97">
        <f t="shared" si="7"/>
        <v>30961</v>
      </c>
    </row>
    <row r="32" spans="1:11">
      <c r="G32" s="94"/>
      <c r="H32" s="94"/>
      <c r="I32" s="94"/>
      <c r="J32" s="94"/>
      <c r="K32" s="94"/>
    </row>
    <row r="33" spans="1:11">
      <c r="A33" t="s">
        <v>56</v>
      </c>
      <c r="B33" s="9" t="s">
        <v>256</v>
      </c>
      <c r="G33" s="89">
        <f>G16+G31</f>
        <v>42266</v>
      </c>
      <c r="H33" s="89">
        <f t="shared" ref="H33:K33" si="8">H16+H31</f>
        <v>42998</v>
      </c>
      <c r="I33" s="89">
        <f t="shared" si="8"/>
        <v>52155</v>
      </c>
      <c r="J33" s="89">
        <f t="shared" si="8"/>
        <v>57118</v>
      </c>
      <c r="K33" s="89">
        <f t="shared" si="8"/>
        <v>55620</v>
      </c>
    </row>
    <row r="34" spans="1:11">
      <c r="B34" s="9" t="s">
        <v>257</v>
      </c>
      <c r="G34" s="89">
        <f>(HistoricalFS!H27+HistoricalFS!H21)</f>
        <v>24622</v>
      </c>
      <c r="H34" s="89">
        <f>(HistoricalFS!I27+HistoricalFS!I21)</f>
        <v>28015</v>
      </c>
      <c r="I34" s="89">
        <f>(HistoricalFS!J27+HistoricalFS!J21)</f>
        <v>30905</v>
      </c>
      <c r="J34" s="89">
        <f>(HistoricalFS!K27+HistoricalFS!K21)</f>
        <v>31747</v>
      </c>
      <c r="K34" s="89">
        <f>(HistoricalFS!L27+HistoricalFS!L21)</f>
        <v>34424</v>
      </c>
    </row>
    <row r="36" spans="1:11" ht="15" thickBot="1">
      <c r="A36" t="s">
        <v>56</v>
      </c>
      <c r="B36" s="92" t="s">
        <v>258</v>
      </c>
      <c r="C36" s="92"/>
      <c r="D36" s="92"/>
      <c r="E36" s="92"/>
      <c r="F36" s="92"/>
      <c r="G36" s="93">
        <f>G34/G33</f>
        <v>0.58254862064070412</v>
      </c>
      <c r="H36" s="93">
        <f t="shared" ref="H36:K36" si="9">H34/H33</f>
        <v>0.65154193218289225</v>
      </c>
      <c r="I36" s="93">
        <f t="shared" si="9"/>
        <v>0.59256063656408786</v>
      </c>
      <c r="J36" s="93">
        <f t="shared" si="9"/>
        <v>0.55581427921145699</v>
      </c>
      <c r="K36" s="93">
        <f t="shared" si="9"/>
        <v>0.61891405969075874</v>
      </c>
    </row>
    <row r="39" spans="1:11">
      <c r="B39" s="77" t="s">
        <v>259</v>
      </c>
      <c r="C39" s="77"/>
      <c r="D39" s="77"/>
      <c r="E39" s="77"/>
      <c r="F39" s="77"/>
      <c r="G39" s="78">
        <f>G2</f>
        <v>44256</v>
      </c>
      <c r="H39" s="78">
        <f t="shared" ref="H39:K39" si="10">H2</f>
        <v>44621</v>
      </c>
      <c r="I39" s="78">
        <f t="shared" si="10"/>
        <v>44986</v>
      </c>
      <c r="J39" s="78">
        <f t="shared" si="10"/>
        <v>45352</v>
      </c>
      <c r="K39" s="78">
        <f t="shared" si="10"/>
        <v>45717</v>
      </c>
    </row>
    <row r="41" spans="1:11">
      <c r="B41" s="82" t="s">
        <v>260</v>
      </c>
      <c r="C41" s="82"/>
      <c r="D41" s="82"/>
      <c r="E41" s="82"/>
      <c r="F41" s="82"/>
      <c r="G41" s="82">
        <f>-SUM('Raw FS'!J50:J51)</f>
        <v>2107</v>
      </c>
      <c r="H41" s="82">
        <f>-SUM('Raw FS'!K50:K51)</f>
        <v>2161</v>
      </c>
      <c r="I41" s="82">
        <f>-SUM('Raw FS'!L50:L51)</f>
        <v>2579</v>
      </c>
      <c r="J41" s="82">
        <f>-SUM('Raw FS'!M50:M51)</f>
        <v>2201</v>
      </c>
      <c r="K41" s="82">
        <f>-SUM('Raw FS'!N50:N51)</f>
        <v>2237</v>
      </c>
    </row>
    <row r="42" spans="1:11">
      <c r="B42" s="82" t="s">
        <v>261</v>
      </c>
      <c r="C42" s="82"/>
      <c r="D42" s="82"/>
      <c r="E42" s="82"/>
      <c r="F42" s="82"/>
      <c r="G42" s="82"/>
      <c r="H42" s="82">
        <f>H16-G16</f>
        <v>437</v>
      </c>
      <c r="I42" s="82">
        <f t="shared" ref="I42:K42" si="11">I16-H16</f>
        <v>5732</v>
      </c>
      <c r="J42" s="82">
        <f t="shared" si="11"/>
        <v>6566</v>
      </c>
      <c r="K42" s="82">
        <f t="shared" si="11"/>
        <v>-4837</v>
      </c>
    </row>
    <row r="43" spans="1:11">
      <c r="B43" s="82"/>
      <c r="C43" s="82"/>
      <c r="D43" s="82"/>
      <c r="E43" s="82"/>
      <c r="F43" s="82"/>
      <c r="G43" s="82"/>
      <c r="H43" s="82"/>
      <c r="I43" s="82"/>
      <c r="J43" s="82"/>
      <c r="K43" s="82"/>
    </row>
    <row r="44" spans="1:11">
      <c r="B44" s="82" t="s">
        <v>257</v>
      </c>
      <c r="C44" s="82"/>
      <c r="D44" s="82"/>
      <c r="E44" s="82"/>
      <c r="F44" s="82"/>
      <c r="G44" s="82">
        <f>G34</f>
        <v>24622</v>
      </c>
      <c r="H44" s="82">
        <f t="shared" ref="H44:K44" si="12">H34</f>
        <v>28015</v>
      </c>
      <c r="I44" s="82">
        <f t="shared" si="12"/>
        <v>30905</v>
      </c>
      <c r="J44" s="82">
        <f t="shared" si="12"/>
        <v>31747</v>
      </c>
      <c r="K44" s="82">
        <f t="shared" si="12"/>
        <v>34424</v>
      </c>
    </row>
    <row r="45" spans="1:11">
      <c r="B45" s="82" t="s">
        <v>262</v>
      </c>
      <c r="C45" s="82"/>
      <c r="D45" s="82"/>
      <c r="E45" s="82"/>
      <c r="F45" s="82"/>
      <c r="G45" s="98">
        <v>0.25</v>
      </c>
      <c r="H45" s="98">
        <v>0.25</v>
      </c>
      <c r="I45" s="98">
        <v>0.25</v>
      </c>
      <c r="J45" s="98">
        <v>0.25</v>
      </c>
      <c r="K45" s="98">
        <v>0.25</v>
      </c>
    </row>
    <row r="46" spans="1:11">
      <c r="B46" s="82" t="s">
        <v>264</v>
      </c>
      <c r="C46" s="82"/>
      <c r="D46" s="82"/>
      <c r="E46" s="82"/>
      <c r="F46" s="82"/>
      <c r="G46" s="82">
        <f>G44*(1-G45)</f>
        <v>18466.5</v>
      </c>
      <c r="H46" s="82">
        <f t="shared" ref="H46:K46" si="13">H44*(1-H45)</f>
        <v>21011.25</v>
      </c>
      <c r="I46" s="82">
        <f t="shared" si="13"/>
        <v>23178.75</v>
      </c>
      <c r="J46" s="82">
        <f t="shared" si="13"/>
        <v>23810.25</v>
      </c>
      <c r="K46" s="82">
        <f t="shared" si="13"/>
        <v>25818</v>
      </c>
    </row>
    <row r="47" spans="1:11">
      <c r="B47" s="82"/>
      <c r="C47" s="82"/>
      <c r="D47" s="82"/>
      <c r="E47" s="82"/>
      <c r="F47" s="82"/>
      <c r="G47" s="82"/>
      <c r="H47" s="82"/>
      <c r="I47" s="82"/>
      <c r="J47" s="82"/>
      <c r="K47" s="82"/>
    </row>
    <row r="48" spans="1:11">
      <c r="B48" s="82" t="s">
        <v>263</v>
      </c>
      <c r="C48" s="82"/>
      <c r="D48" s="82"/>
      <c r="E48" s="82"/>
      <c r="F48" s="82"/>
      <c r="G48" s="82"/>
      <c r="H48" s="82">
        <f>SUM(H41:H42)</f>
        <v>2598</v>
      </c>
      <c r="I48" s="82">
        <f t="shared" ref="I48:K48" si="14">SUM(I41:I42)</f>
        <v>8311</v>
      </c>
      <c r="J48" s="82">
        <f t="shared" si="14"/>
        <v>8767</v>
      </c>
      <c r="K48" s="82">
        <f t="shared" si="14"/>
        <v>-2600</v>
      </c>
    </row>
    <row r="49" spans="2:11" ht="4.2" customHeight="1">
      <c r="H49" s="25"/>
      <c r="I49" s="25"/>
      <c r="J49" s="25"/>
      <c r="K49" s="25"/>
    </row>
    <row r="50" spans="2:11" ht="15" thickBot="1">
      <c r="B50" s="92" t="s">
        <v>265</v>
      </c>
      <c r="C50" s="92"/>
      <c r="D50" s="92"/>
      <c r="E50" s="92"/>
      <c r="F50" s="92"/>
      <c r="G50" s="92"/>
      <c r="H50" s="93">
        <f>H48/H46</f>
        <v>0.12364804568980903</v>
      </c>
      <c r="I50" s="93">
        <f t="shared" ref="I50:K50" si="15">I48/I46</f>
        <v>0.35856118211724103</v>
      </c>
      <c r="J50" s="93">
        <f t="shared" si="15"/>
        <v>0.36820276981552064</v>
      </c>
      <c r="K50" s="93">
        <f t="shared" si="15"/>
        <v>-0.10070493454179255</v>
      </c>
    </row>
    <row r="51" spans="2:11">
      <c r="H51" s="10"/>
      <c r="I51" s="10"/>
      <c r="J51" s="10"/>
      <c r="K51" s="10"/>
    </row>
    <row r="52" spans="2:11">
      <c r="J52" s="99" t="s">
        <v>266</v>
      </c>
      <c r="K52" s="100">
        <f>AVERAGE(H50:K50)</f>
        <v>0.18742676577019454</v>
      </c>
    </row>
    <row r="53" spans="2:11">
      <c r="J53" s="99" t="s">
        <v>267</v>
      </c>
      <c r="K53" s="100">
        <f>MEDIAN(H50:K50)</f>
        <v>0.24110461390352503</v>
      </c>
    </row>
    <row r="55" spans="2:11">
      <c r="B55" s="77" t="s">
        <v>259</v>
      </c>
      <c r="C55" s="77"/>
      <c r="D55" s="77"/>
      <c r="E55" s="77"/>
      <c r="F55" s="77"/>
      <c r="G55" s="78">
        <f>G39</f>
        <v>44256</v>
      </c>
      <c r="H55" s="78">
        <f t="shared" ref="H55:K55" si="16">H39</f>
        <v>44621</v>
      </c>
      <c r="I55" s="78">
        <f t="shared" si="16"/>
        <v>44986</v>
      </c>
      <c r="J55" s="78">
        <f t="shared" si="16"/>
        <v>45352</v>
      </c>
      <c r="K55" s="78">
        <f t="shared" si="16"/>
        <v>45717</v>
      </c>
    </row>
    <row r="57" spans="2:11">
      <c r="B57" s="82" t="s">
        <v>265</v>
      </c>
      <c r="C57" s="82"/>
      <c r="D57" s="82"/>
      <c r="E57" s="82"/>
      <c r="F57" s="82"/>
      <c r="G57" s="82"/>
      <c r="H57" s="101">
        <f>H50</f>
        <v>0.12364804568980903</v>
      </c>
      <c r="I57" s="101">
        <f t="shared" ref="I57:K57" si="17">I50</f>
        <v>0.35856118211724103</v>
      </c>
      <c r="J57" s="101">
        <f t="shared" si="17"/>
        <v>0.36820276981552064</v>
      </c>
      <c r="K57" s="101">
        <f t="shared" si="17"/>
        <v>-0.10070493454179255</v>
      </c>
    </row>
    <row r="58" spans="2:11">
      <c r="B58" s="82" t="s">
        <v>258</v>
      </c>
      <c r="C58" s="82"/>
      <c r="D58" s="82"/>
      <c r="E58" s="82"/>
      <c r="F58" s="82"/>
      <c r="G58" s="82"/>
      <c r="H58" s="101">
        <f>H36</f>
        <v>0.65154193218289225</v>
      </c>
      <c r="I58" s="101">
        <f t="shared" ref="I58:K58" si="18">I36</f>
        <v>0.59256063656408786</v>
      </c>
      <c r="J58" s="101">
        <f t="shared" si="18"/>
        <v>0.55581427921145699</v>
      </c>
      <c r="K58" s="101">
        <f t="shared" si="18"/>
        <v>0.61891405969075874</v>
      </c>
    </row>
    <row r="59" spans="2:11" ht="4.2" customHeight="1"/>
    <row r="60" spans="2:11" ht="15" thickBot="1">
      <c r="B60" s="92" t="s">
        <v>268</v>
      </c>
      <c r="C60" s="92"/>
      <c r="D60" s="92"/>
      <c r="E60" s="92"/>
      <c r="F60" s="92"/>
      <c r="G60" s="92"/>
      <c r="H60" s="102">
        <f>H57*H58</f>
        <v>8.0561886599376714E-2</v>
      </c>
      <c r="I60" s="102">
        <f t="shared" ref="I60:K60" si="19">I57*I58</f>
        <v>0.21246924232256417</v>
      </c>
      <c r="J60" s="102">
        <f t="shared" si="19"/>
        <v>0.2046523571086756</v>
      </c>
      <c r="K60" s="102">
        <f t="shared" si="19"/>
        <v>-6.2327699868152946E-2</v>
      </c>
    </row>
    <row r="62" spans="2:11">
      <c r="J62" s="99" t="s">
        <v>266</v>
      </c>
      <c r="K62" s="100">
        <f>AVERAGE(H60:K60)</f>
        <v>0.10883894654061589</v>
      </c>
    </row>
    <row r="63" spans="2:11">
      <c r="J63" s="99" t="s">
        <v>267</v>
      </c>
      <c r="K63" s="100">
        <f>MEDIAN(H60:K60)</f>
        <v>0.14260712185402616</v>
      </c>
    </row>
  </sheetData>
  <pageMargins left="0.7" right="0.7" top="0.75" bottom="0.75" header="0.3" footer="0.3"/>
  <ignoredErrors>
    <ignoredError sqref="G41:K4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F36F-82C0-4123-841E-268EBDE701A1}">
  <dimension ref="B3:J43"/>
  <sheetViews>
    <sheetView showGridLines="0" topLeftCell="A3" zoomScale="90" zoomScaleNormal="90" workbookViewId="0">
      <selection activeCell="F5" sqref="F5"/>
    </sheetView>
  </sheetViews>
  <sheetFormatPr defaultRowHeight="14.4"/>
  <cols>
    <col min="1" max="1" width="1.88671875" customWidth="1"/>
    <col min="3" max="3" width="14" customWidth="1"/>
    <col min="4" max="4" width="14.33203125" customWidth="1"/>
    <col min="5" max="5" width="11" bestFit="1" customWidth="1"/>
    <col min="6" max="6" width="11.88671875" bestFit="1" customWidth="1"/>
    <col min="7" max="10" width="11" bestFit="1" customWidth="1"/>
  </cols>
  <sheetData>
    <row r="3" spans="2:10">
      <c r="B3" s="77" t="s">
        <v>269</v>
      </c>
      <c r="C3" s="77"/>
      <c r="D3" s="77"/>
      <c r="E3" s="103">
        <f>'Intrinsic Growth'!K2</f>
        <v>45717</v>
      </c>
      <c r="F3" s="104">
        <f>E3+366</f>
        <v>46083</v>
      </c>
      <c r="G3" s="104">
        <f t="shared" ref="G3:J3" si="0">F3+365</f>
        <v>46448</v>
      </c>
      <c r="H3" s="104">
        <f t="shared" si="0"/>
        <v>46813</v>
      </c>
      <c r="I3" s="104">
        <f t="shared" si="0"/>
        <v>47178</v>
      </c>
      <c r="J3" s="104">
        <f t="shared" si="0"/>
        <v>47543</v>
      </c>
    </row>
    <row r="5" spans="2:10">
      <c r="B5" s="82" t="s">
        <v>257</v>
      </c>
      <c r="C5" s="82"/>
      <c r="D5" s="82"/>
      <c r="E5" s="108">
        <f>'Data Sheet'!K33-'Data Sheet'!K26</f>
        <v>37987</v>
      </c>
      <c r="F5" s="106">
        <f>E5*(1+$D$15)</f>
        <v>43404.21673786889</v>
      </c>
      <c r="G5" s="106">
        <f>F5*(1+$D$15)</f>
        <v>49593.967163184716</v>
      </c>
      <c r="H5" s="106">
        <f>G5*(1+$D$15)</f>
        <v>56666.420081649572</v>
      </c>
      <c r="I5" s="106">
        <f>H5*(1+$D$15)</f>
        <v>64747.455155264804</v>
      </c>
      <c r="J5" s="106">
        <f>I5*(1+$D$15)</f>
        <v>73980.90338232975</v>
      </c>
    </row>
    <row r="6" spans="2:10">
      <c r="B6" s="82" t="s">
        <v>131</v>
      </c>
      <c r="C6" s="82"/>
      <c r="D6" s="82"/>
      <c r="E6" s="109">
        <v>0.25</v>
      </c>
      <c r="F6" s="101">
        <f>E6</f>
        <v>0.25</v>
      </c>
      <c r="G6" s="101">
        <f t="shared" ref="G6:J6" si="1">F6</f>
        <v>0.25</v>
      </c>
      <c r="H6" s="101">
        <f t="shared" si="1"/>
        <v>0.25</v>
      </c>
      <c r="I6" s="101">
        <f t="shared" si="1"/>
        <v>0.25</v>
      </c>
      <c r="J6" s="101">
        <f t="shared" si="1"/>
        <v>0.25</v>
      </c>
    </row>
    <row r="7" spans="2:10">
      <c r="B7" s="82" t="s">
        <v>264</v>
      </c>
      <c r="C7" s="82"/>
      <c r="D7" s="82"/>
      <c r="E7" s="108">
        <f t="shared" ref="E7:J7" si="2">E5*(1-E6)</f>
        <v>28490.25</v>
      </c>
      <c r="F7" s="106">
        <f t="shared" si="2"/>
        <v>32553.162553401668</v>
      </c>
      <c r="G7" s="106">
        <f t="shared" si="2"/>
        <v>37195.475372388537</v>
      </c>
      <c r="H7" s="106">
        <f t="shared" si="2"/>
        <v>42499.815061237183</v>
      </c>
      <c r="I7" s="106">
        <f t="shared" si="2"/>
        <v>48560.5913664486</v>
      </c>
      <c r="J7" s="106">
        <f t="shared" si="2"/>
        <v>55485.677536747316</v>
      </c>
    </row>
    <row r="8" spans="2:10">
      <c r="B8" s="82" t="s">
        <v>270</v>
      </c>
      <c r="C8" s="82"/>
      <c r="D8" s="82"/>
      <c r="E8" s="109">
        <f>'Intrinsic Growth'!K53</f>
        <v>0.24110461390352503</v>
      </c>
      <c r="F8" s="101">
        <f>E8</f>
        <v>0.24110461390352503</v>
      </c>
      <c r="G8" s="101">
        <f t="shared" ref="G8:J8" si="3">F8</f>
        <v>0.24110461390352503</v>
      </c>
      <c r="H8" s="101">
        <f t="shared" si="3"/>
        <v>0.24110461390352503</v>
      </c>
      <c r="I8" s="101">
        <f t="shared" si="3"/>
        <v>0.24110461390352503</v>
      </c>
      <c r="J8" s="101">
        <f t="shared" si="3"/>
        <v>0.24110461390352503</v>
      </c>
    </row>
    <row r="9" spans="2:10">
      <c r="B9" s="82" t="s">
        <v>271</v>
      </c>
      <c r="C9" s="82"/>
      <c r="D9" s="82"/>
      <c r="E9" s="108">
        <f t="shared" ref="E9:J9" si="4">E7*(1-E8)</f>
        <v>21621.119273735098</v>
      </c>
      <c r="F9" s="106">
        <f t="shared" si="4"/>
        <v>24704.444864625071</v>
      </c>
      <c r="G9" s="106">
        <f t="shared" si="4"/>
        <v>28227.474643770725</v>
      </c>
      <c r="H9" s="106">
        <f t="shared" si="4"/>
        <v>32252.913559926375</v>
      </c>
      <c r="I9" s="106">
        <f t="shared" si="4"/>
        <v>36852.408734114164</v>
      </c>
      <c r="J9" s="106">
        <f t="shared" si="4"/>
        <v>42107.824677074364</v>
      </c>
    </row>
    <row r="10" spans="2:10">
      <c r="B10" s="82" t="s">
        <v>272</v>
      </c>
      <c r="C10" s="82"/>
      <c r="D10" s="82"/>
      <c r="E10" s="110"/>
      <c r="F10" s="107">
        <v>0.5</v>
      </c>
      <c r="G10" s="82">
        <f>F10+1</f>
        <v>1.5</v>
      </c>
      <c r="H10" s="82">
        <f t="shared" ref="H10:J10" si="5">G10+1</f>
        <v>2.5</v>
      </c>
      <c r="I10" s="82">
        <f t="shared" si="5"/>
        <v>3.5</v>
      </c>
      <c r="J10" s="82">
        <f t="shared" si="5"/>
        <v>4.5</v>
      </c>
    </row>
    <row r="11" spans="2:10">
      <c r="B11" s="82" t="s">
        <v>273</v>
      </c>
      <c r="C11" s="82"/>
      <c r="D11" s="82"/>
      <c r="E11" s="110"/>
      <c r="F11" s="113">
        <f>1/(1+$D$17)^F10</f>
        <v>0.9299287483945704</v>
      </c>
      <c r="G11" s="113">
        <f t="shared" ref="G11:J11" si="6">1/(1+$D$17)^G10</f>
        <v>0.80417213762327777</v>
      </c>
      <c r="H11" s="113">
        <f t="shared" si="6"/>
        <v>0.69542191059911096</v>
      </c>
      <c r="I11" s="113">
        <f t="shared" si="6"/>
        <v>0.60137825114238208</v>
      </c>
      <c r="J11" s="113">
        <f t="shared" si="6"/>
        <v>0.52005235301761044</v>
      </c>
    </row>
    <row r="12" spans="2:10" ht="3.6" customHeight="1">
      <c r="E12" s="111"/>
    </row>
    <row r="13" spans="2:10" ht="15" thickBot="1">
      <c r="B13" s="105" t="s">
        <v>274</v>
      </c>
      <c r="C13" s="105"/>
      <c r="D13" s="105"/>
      <c r="E13" s="112"/>
      <c r="F13" s="114">
        <f>F9*F11</f>
        <v>22973.373492743463</v>
      </c>
      <c r="G13" s="114">
        <f t="shared" ref="G13:J13" si="7">G9*G11</f>
        <v>22699.748623987976</v>
      </c>
      <c r="H13" s="114">
        <f t="shared" si="7"/>
        <v>22429.382770231972</v>
      </c>
      <c r="I13" s="114">
        <f t="shared" si="7"/>
        <v>22162.237114905824</v>
      </c>
      <c r="J13" s="114">
        <f t="shared" si="7"/>
        <v>21898.273303765527</v>
      </c>
    </row>
    <row r="15" spans="2:10">
      <c r="B15" t="s">
        <v>275</v>
      </c>
      <c r="D15" s="29">
        <f>'Intrinsic Growth'!K63</f>
        <v>0.14260712185402616</v>
      </c>
    </row>
    <row r="16" spans="2:10">
      <c r="B16" t="s">
        <v>276</v>
      </c>
      <c r="D16" s="29">
        <v>5.5E-2</v>
      </c>
    </row>
    <row r="17" spans="2:10">
      <c r="B17" t="s">
        <v>159</v>
      </c>
      <c r="D17" s="29">
        <f>WACC!K43</f>
        <v>0.15638021374747557</v>
      </c>
    </row>
    <row r="20" spans="2:10">
      <c r="B20" s="77" t="s">
        <v>277</v>
      </c>
      <c r="C20" s="77"/>
      <c r="D20" s="77"/>
      <c r="F20" s="77" t="s">
        <v>291</v>
      </c>
      <c r="G20" s="77"/>
      <c r="H20" s="77"/>
      <c r="I20" s="77"/>
      <c r="J20" s="77"/>
    </row>
    <row r="21" spans="2:10">
      <c r="F21" s="119">
        <f>D33</f>
        <v>358967.81190541916</v>
      </c>
      <c r="G21" s="120">
        <v>0.13</v>
      </c>
      <c r="H21" s="120">
        <v>0.15640000000000001</v>
      </c>
      <c r="I21" s="120">
        <v>0.17</v>
      </c>
      <c r="J21" s="120">
        <v>0.19</v>
      </c>
    </row>
    <row r="22" spans="2:10">
      <c r="B22" t="s">
        <v>278</v>
      </c>
      <c r="D22" s="115">
        <f>J9*(1+D15)</f>
        <v>48112.700361805873</v>
      </c>
      <c r="F22" s="120">
        <v>0.05</v>
      </c>
      <c r="G22" s="121">
        <f t="dataTable" ref="G22:J26" dt2D="1" dtr="1" r1="D23" r2="D24"/>
        <v>424927.05322048953</v>
      </c>
      <c r="H22" s="121">
        <v>347323.94606868346</v>
      </c>
      <c r="I22" s="121">
        <v>320672.3739155379</v>
      </c>
      <c r="J22" s="121">
        <v>290885.32268555171</v>
      </c>
    </row>
    <row r="23" spans="2:10">
      <c r="B23" t="s">
        <v>159</v>
      </c>
      <c r="D23" s="29">
        <f>D17</f>
        <v>0.15638021374747557</v>
      </c>
      <c r="F23" s="120">
        <v>0.06</v>
      </c>
      <c r="G23" s="121">
        <v>469607.63006546872</v>
      </c>
      <c r="H23" s="121">
        <v>371718.23349223618</v>
      </c>
      <c r="I23" s="121">
        <v>339627.77015280182</v>
      </c>
      <c r="J23" s="121">
        <v>304633.19248400687</v>
      </c>
    </row>
    <row r="24" spans="2:10">
      <c r="B24" t="s">
        <v>279</v>
      </c>
      <c r="D24" s="29">
        <f>D16</f>
        <v>5.5E-2</v>
      </c>
      <c r="F24" s="120">
        <v>7.3999999999999996E-2</v>
      </c>
      <c r="G24" s="121">
        <v>558968.78375542723</v>
      </c>
      <c r="H24" s="122">
        <v>415817.42104821216</v>
      </c>
      <c r="I24" s="121">
        <v>372799.71356801369</v>
      </c>
      <c r="J24" s="121">
        <v>327862.351798638</v>
      </c>
    </row>
    <row r="25" spans="2:10">
      <c r="F25" s="120">
        <v>0.08</v>
      </c>
      <c r="G25" s="121">
        <v>612585.47596940235</v>
      </c>
      <c r="H25" s="121">
        <v>439664.6256876816</v>
      </c>
      <c r="I25" s="121">
        <v>390175.49345217232</v>
      </c>
      <c r="J25" s="121">
        <v>339627.77015280188</v>
      </c>
    </row>
    <row r="26" spans="2:10" ht="15" thickBot="1">
      <c r="B26" s="92" t="s">
        <v>280</v>
      </c>
      <c r="C26" s="92"/>
      <c r="D26" s="116">
        <f>D22/(D23-D24)</f>
        <v>474576.82898211392</v>
      </c>
      <c r="F26" s="120">
        <v>0.09</v>
      </c>
      <c r="G26" s="121">
        <v>737691.09113534412</v>
      </c>
      <c r="H26" s="121">
        <v>488987.15737172472</v>
      </c>
      <c r="I26" s="121">
        <v>424927.05322048947</v>
      </c>
      <c r="J26" s="121">
        <v>362374.24563751853</v>
      </c>
    </row>
    <row r="29" spans="2:10">
      <c r="B29" s="77" t="s">
        <v>285</v>
      </c>
      <c r="C29" s="77"/>
      <c r="D29" s="77"/>
    </row>
    <row r="31" spans="2:10">
      <c r="B31" t="s">
        <v>274</v>
      </c>
      <c r="D31" s="115">
        <f>SUM(F13:J13)</f>
        <v>112163.01530563475</v>
      </c>
    </row>
    <row r="32" spans="2:10">
      <c r="B32" t="s">
        <v>281</v>
      </c>
      <c r="D32" s="115">
        <f>D26*J11</f>
        <v>246804.79659978443</v>
      </c>
    </row>
    <row r="33" spans="2:4">
      <c r="B33" s="9" t="s">
        <v>282</v>
      </c>
      <c r="C33" s="9"/>
      <c r="D33" s="117">
        <f>SUM(D31:D32)</f>
        <v>358967.81190541916</v>
      </c>
    </row>
    <row r="34" spans="2:4">
      <c r="B34" s="9"/>
      <c r="C34" s="9"/>
      <c r="D34" s="117"/>
    </row>
    <row r="35" spans="2:4">
      <c r="B35" t="s">
        <v>283</v>
      </c>
      <c r="C35" s="9"/>
      <c r="D35" s="115">
        <f>'Data Sheet'!K69</f>
        <v>24455</v>
      </c>
    </row>
    <row r="36" spans="2:4">
      <c r="B36" t="s">
        <v>284</v>
      </c>
      <c r="C36" s="9"/>
      <c r="D36" s="115">
        <f>SUM('Raw FS'!N7)</f>
        <v>8227</v>
      </c>
    </row>
    <row r="37" spans="2:4">
      <c r="B37" s="9" t="s">
        <v>286</v>
      </c>
      <c r="C37" s="9"/>
      <c r="D37" s="117">
        <f>D33+D35-D36</f>
        <v>375195.81190541916</v>
      </c>
    </row>
    <row r="38" spans="2:4">
      <c r="B38" t="s">
        <v>287</v>
      </c>
      <c r="D38" s="115">
        <f>'Data Sheet'!B6</f>
        <v>405.52309540975727</v>
      </c>
    </row>
    <row r="39" spans="2:4" ht="4.2" customHeight="1"/>
    <row r="40" spans="2:4" ht="15" thickBot="1">
      <c r="B40" s="92" t="s">
        <v>288</v>
      </c>
      <c r="C40" s="92"/>
      <c r="D40" s="116">
        <f>D37/D38</f>
        <v>925.21441109613204</v>
      </c>
    </row>
    <row r="42" spans="2:4">
      <c r="B42" t="s">
        <v>289</v>
      </c>
      <c r="D42">
        <v>1229</v>
      </c>
    </row>
    <row r="43" spans="2:4">
      <c r="B43" t="s">
        <v>290</v>
      </c>
      <c r="D43" s="118">
        <f>D42/D40</f>
        <v>1.3283407448701141</v>
      </c>
    </row>
  </sheetData>
  <pageMargins left="0.7" right="0.7" top="0.75" bottom="0.75" header="0.3" footer="0.3"/>
  <pageSetup paperSize="9" orientation="portrait" r:id="rId1"/>
  <ignoredErrors>
    <ignoredError sqref="F7:J7 E8 F8:J8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BFF2-A0F1-4389-A081-2165974B8994}">
  <sheetPr>
    <tabColor rgb="FF0070C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97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11" sqref="E11"/>
    </sheetView>
  </sheetViews>
  <sheetFormatPr defaultColWidth="8.77734375" defaultRowHeight="14.4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>
      <c r="A1" s="1" t="s">
        <v>0</v>
      </c>
      <c r="B1" s="1" t="s">
        <v>32</v>
      </c>
      <c r="E1" s="125" t="str">
        <f>IF(B2&lt;&gt;B3, "A NEW VERSION OF THE WORKSHEET IS AVAILABLE", "")</f>
        <v/>
      </c>
      <c r="F1" s="125"/>
      <c r="G1" s="125"/>
      <c r="H1" s="125"/>
      <c r="I1" s="125"/>
      <c r="J1" s="125"/>
      <c r="K1" s="125"/>
    </row>
    <row r="2" spans="1:11">
      <c r="A2" s="1" t="s">
        <v>30</v>
      </c>
      <c r="B2" s="2">
        <v>2.1</v>
      </c>
      <c r="E2" s="126" t="s">
        <v>21</v>
      </c>
      <c r="F2" s="126"/>
      <c r="G2" s="126"/>
      <c r="H2" s="126"/>
      <c r="I2" s="126"/>
      <c r="J2" s="126"/>
      <c r="K2" s="126"/>
    </row>
    <row r="3" spans="1:11">
      <c r="A3" s="1" t="s">
        <v>31</v>
      </c>
      <c r="B3" s="2">
        <v>2.1</v>
      </c>
    </row>
    <row r="4" spans="1:11">
      <c r="A4" s="1"/>
    </row>
    <row r="5" spans="1:11">
      <c r="A5" s="1" t="s">
        <v>33</v>
      </c>
    </row>
    <row r="6" spans="1:11">
      <c r="A6" s="2" t="s">
        <v>27</v>
      </c>
      <c r="B6" s="2">
        <f>IF(B9&gt;0, B9/B8, 0)</f>
        <v>405.52309540975727</v>
      </c>
    </row>
    <row r="7" spans="1:11">
      <c r="A7" s="2" t="s">
        <v>16</v>
      </c>
      <c r="B7">
        <v>5</v>
      </c>
    </row>
    <row r="8" spans="1:11">
      <c r="A8" s="2" t="s">
        <v>28</v>
      </c>
      <c r="B8">
        <v>1248.3</v>
      </c>
    </row>
    <row r="9" spans="1:11">
      <c r="A9" s="2" t="s">
        <v>43</v>
      </c>
      <c r="B9">
        <v>506214.48</v>
      </c>
    </row>
    <row r="15" spans="1:11">
      <c r="A15" s="1" t="s">
        <v>22</v>
      </c>
    </row>
    <row r="16" spans="1:11" s="6" customFormat="1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>
      <c r="A17" s="3" t="s">
        <v>1</v>
      </c>
      <c r="B17">
        <v>62441</v>
      </c>
      <c r="C17">
        <v>68484</v>
      </c>
      <c r="D17">
        <v>70522</v>
      </c>
      <c r="E17">
        <v>82675</v>
      </c>
      <c r="F17">
        <v>90791</v>
      </c>
      <c r="G17">
        <v>100472</v>
      </c>
      <c r="H17">
        <v>121641</v>
      </c>
      <c r="I17">
        <v>146767</v>
      </c>
      <c r="J17">
        <v>153670</v>
      </c>
      <c r="K17">
        <v>162990</v>
      </c>
    </row>
    <row r="18" spans="1:11" s="3" customFormat="1">
      <c r="A18" s="2" t="s">
        <v>44</v>
      </c>
      <c r="B18"/>
      <c r="C18"/>
      <c r="D18"/>
      <c r="E18"/>
      <c r="F18"/>
      <c r="G18"/>
      <c r="H18"/>
      <c r="I18"/>
      <c r="J18"/>
      <c r="K18"/>
    </row>
    <row r="19" spans="1:11" s="3" customFormat="1">
      <c r="A19" s="2" t="s">
        <v>45</v>
      </c>
      <c r="B19"/>
      <c r="C19"/>
      <c r="D19"/>
      <c r="E19"/>
      <c r="F19"/>
      <c r="G19"/>
      <c r="H19"/>
      <c r="I19"/>
      <c r="J19"/>
      <c r="K19"/>
    </row>
    <row r="20" spans="1:11" s="3" customFormat="1">
      <c r="A20" s="2" t="s">
        <v>46</v>
      </c>
      <c r="B20">
        <v>217</v>
      </c>
      <c r="C20">
        <v>228</v>
      </c>
      <c r="D20">
        <v>207</v>
      </c>
      <c r="E20">
        <v>221</v>
      </c>
      <c r="F20">
        <v>229</v>
      </c>
      <c r="G20">
        <v>143</v>
      </c>
      <c r="H20">
        <v>132</v>
      </c>
      <c r="I20">
        <v>176</v>
      </c>
      <c r="J20">
        <v>199</v>
      </c>
      <c r="K20">
        <v>222</v>
      </c>
    </row>
    <row r="21" spans="1:11" s="3" customFormat="1">
      <c r="A21" s="2" t="s">
        <v>47</v>
      </c>
      <c r="B21">
        <v>5860</v>
      </c>
      <c r="C21">
        <v>6712</v>
      </c>
      <c r="D21">
        <v>7286</v>
      </c>
      <c r="E21">
        <v>9902</v>
      </c>
      <c r="F21">
        <v>11086</v>
      </c>
      <c r="G21">
        <v>12800</v>
      </c>
      <c r="H21">
        <v>20690</v>
      </c>
      <c r="I21">
        <v>26330</v>
      </c>
      <c r="J21">
        <v>27195</v>
      </c>
      <c r="K21">
        <v>30395</v>
      </c>
    </row>
    <row r="22" spans="1:11" s="3" customFormat="1">
      <c r="A22" s="2" t="s">
        <v>48</v>
      </c>
      <c r="B22">
        <v>34415</v>
      </c>
      <c r="C22">
        <v>37669</v>
      </c>
      <c r="D22">
        <v>38902</v>
      </c>
      <c r="E22">
        <v>45323</v>
      </c>
      <c r="F22">
        <v>50895</v>
      </c>
      <c r="G22">
        <v>55547</v>
      </c>
      <c r="H22">
        <v>63997</v>
      </c>
      <c r="I22">
        <v>78374</v>
      </c>
      <c r="J22">
        <v>82636</v>
      </c>
      <c r="K22">
        <v>85968</v>
      </c>
    </row>
    <row r="23" spans="1:11" s="3" customFormat="1">
      <c r="A23" s="2" t="s">
        <v>49</v>
      </c>
      <c r="B23">
        <v>4441</v>
      </c>
      <c r="C23">
        <v>4584</v>
      </c>
      <c r="D23">
        <v>4585</v>
      </c>
      <c r="E23">
        <v>5553</v>
      </c>
      <c r="F23">
        <v>5375</v>
      </c>
      <c r="G23">
        <v>3194</v>
      </c>
      <c r="H23">
        <v>4305</v>
      </c>
      <c r="I23">
        <v>5300</v>
      </c>
      <c r="J23">
        <v>5705</v>
      </c>
      <c r="K23">
        <v>6039</v>
      </c>
    </row>
    <row r="24" spans="1:11" s="3" customFormat="1">
      <c r="A24" s="2" t="s">
        <v>50</v>
      </c>
      <c r="B24">
        <v>429</v>
      </c>
      <c r="C24">
        <v>687</v>
      </c>
      <c r="D24">
        <v>720</v>
      </c>
      <c r="E24">
        <v>1506</v>
      </c>
      <c r="F24">
        <v>939</v>
      </c>
      <c r="G24">
        <v>899</v>
      </c>
      <c r="H24">
        <v>1026</v>
      </c>
      <c r="I24">
        <v>1457</v>
      </c>
      <c r="J24">
        <v>1510</v>
      </c>
      <c r="K24">
        <v>1130</v>
      </c>
    </row>
    <row r="25" spans="1:11" s="3" customFormat="1">
      <c r="A25" s="3" t="s">
        <v>4</v>
      </c>
      <c r="B25">
        <v>3120</v>
      </c>
      <c r="C25">
        <v>3050</v>
      </c>
      <c r="D25">
        <v>3311</v>
      </c>
      <c r="E25">
        <v>2882</v>
      </c>
      <c r="F25">
        <v>2803</v>
      </c>
      <c r="G25">
        <v>2201</v>
      </c>
      <c r="H25">
        <v>2295</v>
      </c>
      <c r="I25">
        <v>2701</v>
      </c>
      <c r="J25">
        <v>4711</v>
      </c>
      <c r="K25">
        <v>3600</v>
      </c>
    </row>
    <row r="26" spans="1:11" s="3" customFormat="1">
      <c r="A26" s="3" t="s">
        <v>5</v>
      </c>
      <c r="B26">
        <v>1459</v>
      </c>
      <c r="C26">
        <v>1703</v>
      </c>
      <c r="D26">
        <v>1863</v>
      </c>
      <c r="E26">
        <v>2011</v>
      </c>
      <c r="F26">
        <v>2893</v>
      </c>
      <c r="G26">
        <v>3267</v>
      </c>
      <c r="H26">
        <v>3476</v>
      </c>
      <c r="I26">
        <v>4225</v>
      </c>
      <c r="J26">
        <v>4678</v>
      </c>
      <c r="K26">
        <v>4812</v>
      </c>
    </row>
    <row r="27" spans="1:11" s="3" customFormat="1">
      <c r="A27" s="3" t="s">
        <v>6</v>
      </c>
      <c r="B27"/>
      <c r="C27"/>
      <c r="D27"/>
      <c r="E27"/>
      <c r="F27">
        <v>170</v>
      </c>
      <c r="G27">
        <v>195</v>
      </c>
      <c r="H27">
        <v>200</v>
      </c>
      <c r="I27">
        <v>284</v>
      </c>
      <c r="J27">
        <v>470</v>
      </c>
      <c r="K27">
        <v>416</v>
      </c>
    </row>
    <row r="28" spans="1:11" s="3" customFormat="1">
      <c r="A28" s="3" t="s">
        <v>7</v>
      </c>
      <c r="B28">
        <v>18740</v>
      </c>
      <c r="C28">
        <v>19951</v>
      </c>
      <c r="D28">
        <v>20270</v>
      </c>
      <c r="E28">
        <v>21041</v>
      </c>
      <c r="F28">
        <v>22007</v>
      </c>
      <c r="G28">
        <v>26628</v>
      </c>
      <c r="H28">
        <v>30110</v>
      </c>
      <c r="I28">
        <v>33322</v>
      </c>
      <c r="J28">
        <v>35988</v>
      </c>
      <c r="K28">
        <v>37608</v>
      </c>
    </row>
    <row r="29" spans="1:11" s="3" customFormat="1">
      <c r="A29" s="3" t="s">
        <v>8</v>
      </c>
      <c r="B29">
        <v>5251</v>
      </c>
      <c r="C29">
        <v>5598</v>
      </c>
      <c r="D29">
        <v>4241</v>
      </c>
      <c r="E29">
        <v>5631</v>
      </c>
      <c r="F29">
        <v>5368</v>
      </c>
      <c r="G29">
        <v>7205</v>
      </c>
      <c r="H29">
        <v>7964</v>
      </c>
      <c r="I29">
        <v>9214</v>
      </c>
      <c r="J29">
        <v>9740</v>
      </c>
      <c r="K29">
        <v>10858</v>
      </c>
    </row>
    <row r="30" spans="1:11" s="3" customFormat="1">
      <c r="A30" s="3" t="s">
        <v>9</v>
      </c>
      <c r="B30">
        <v>13489</v>
      </c>
      <c r="C30">
        <v>14353</v>
      </c>
      <c r="D30">
        <v>16029</v>
      </c>
      <c r="E30">
        <v>15404</v>
      </c>
      <c r="F30">
        <v>16594</v>
      </c>
      <c r="G30">
        <v>19351</v>
      </c>
      <c r="H30">
        <v>22110</v>
      </c>
      <c r="I30">
        <v>24095</v>
      </c>
      <c r="J30">
        <v>26233</v>
      </c>
      <c r="K30">
        <v>26713</v>
      </c>
    </row>
    <row r="31" spans="1:11" s="3" customFormat="1">
      <c r="A31" s="3" t="s">
        <v>34</v>
      </c>
      <c r="B31">
        <v>5548.4</v>
      </c>
      <c r="C31">
        <v>5891.6</v>
      </c>
      <c r="D31">
        <v>9465.6</v>
      </c>
      <c r="E31">
        <v>9222.5</v>
      </c>
      <c r="F31">
        <v>7427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1" s="3" customFormat="1"/>
    <row r="33" spans="1:11">
      <c r="A33" s="3" t="s">
        <v>59</v>
      </c>
      <c r="B33" s="2">
        <f>B30+B29+B27+B26</f>
        <v>20199</v>
      </c>
      <c r="C33" s="2">
        <f t="shared" ref="C33:K33" si="0">C30+C29+C27+C26</f>
        <v>21654</v>
      </c>
      <c r="D33" s="2">
        <f t="shared" si="0"/>
        <v>22133</v>
      </c>
      <c r="E33" s="2">
        <f t="shared" si="0"/>
        <v>23046</v>
      </c>
      <c r="F33" s="2">
        <f t="shared" si="0"/>
        <v>25025</v>
      </c>
      <c r="G33" s="2">
        <f t="shared" si="0"/>
        <v>30018</v>
      </c>
      <c r="H33" s="2">
        <f t="shared" si="0"/>
        <v>33750</v>
      </c>
      <c r="I33" s="2">
        <f t="shared" si="0"/>
        <v>37818</v>
      </c>
      <c r="J33" s="2">
        <f t="shared" si="0"/>
        <v>41121</v>
      </c>
      <c r="K33" s="2">
        <f t="shared" si="0"/>
        <v>42799</v>
      </c>
    </row>
    <row r="34" spans="1:11">
      <c r="A34" s="3"/>
    </row>
    <row r="35" spans="1:11">
      <c r="A35" s="3"/>
    </row>
    <row r="36" spans="1:11">
      <c r="A36" s="3"/>
    </row>
    <row r="37" spans="1:11">
      <c r="A37" s="3"/>
    </row>
    <row r="38" spans="1:11">
      <c r="A38" s="3"/>
    </row>
    <row r="39" spans="1:11">
      <c r="A39" s="3"/>
    </row>
    <row r="40" spans="1:11">
      <c r="A40" s="1" t="s">
        <v>24</v>
      </c>
    </row>
    <row r="41" spans="1:11" s="6" customFormat="1">
      <c r="A41" s="5" t="s">
        <v>23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3" customFormat="1">
      <c r="A42" s="3" t="s">
        <v>1</v>
      </c>
      <c r="B42">
        <v>38994</v>
      </c>
      <c r="C42">
        <v>38821</v>
      </c>
      <c r="D42">
        <v>37923</v>
      </c>
      <c r="E42">
        <v>39315</v>
      </c>
      <c r="F42">
        <v>40986</v>
      </c>
      <c r="G42">
        <v>41764</v>
      </c>
      <c r="H42">
        <v>40925</v>
      </c>
      <c r="I42">
        <v>42279</v>
      </c>
      <c r="J42">
        <v>44490</v>
      </c>
      <c r="K42">
        <v>45479</v>
      </c>
    </row>
    <row r="43" spans="1:11" s="3" customFormat="1">
      <c r="A43" s="3" t="s">
        <v>2</v>
      </c>
      <c r="B43">
        <v>29554</v>
      </c>
      <c r="C43">
        <v>29684</v>
      </c>
      <c r="D43">
        <v>29139</v>
      </c>
      <c r="E43">
        <v>29878</v>
      </c>
      <c r="F43">
        <v>31177</v>
      </c>
      <c r="G43">
        <v>31649</v>
      </c>
      <c r="H43">
        <v>31051</v>
      </c>
      <c r="I43">
        <v>32336</v>
      </c>
      <c r="J43">
        <v>33955</v>
      </c>
      <c r="K43">
        <v>34845</v>
      </c>
    </row>
    <row r="44" spans="1:11" s="3" customFormat="1">
      <c r="A44" s="3" t="s">
        <v>4</v>
      </c>
      <c r="B44">
        <v>632</v>
      </c>
      <c r="C44">
        <v>789</v>
      </c>
      <c r="D44">
        <v>2729</v>
      </c>
      <c r="E44">
        <v>838</v>
      </c>
      <c r="F44">
        <v>712</v>
      </c>
      <c r="G44">
        <v>859</v>
      </c>
      <c r="H44">
        <v>1190</v>
      </c>
      <c r="I44">
        <v>1042</v>
      </c>
      <c r="J44">
        <v>982</v>
      </c>
      <c r="K44">
        <v>-150</v>
      </c>
    </row>
    <row r="45" spans="1:11" s="3" customFormat="1">
      <c r="A45" s="3" t="s">
        <v>5</v>
      </c>
      <c r="B45">
        <v>1166</v>
      </c>
      <c r="C45">
        <v>1176</v>
      </c>
      <c r="D45">
        <v>1163</v>
      </c>
      <c r="E45">
        <v>1149</v>
      </c>
      <c r="F45">
        <v>1160</v>
      </c>
      <c r="G45">
        <v>1203</v>
      </c>
      <c r="H45">
        <v>1299</v>
      </c>
      <c r="I45">
        <v>1140</v>
      </c>
      <c r="J45">
        <v>1182</v>
      </c>
      <c r="K45">
        <v>1155</v>
      </c>
    </row>
    <row r="46" spans="1:11" s="3" customFormat="1">
      <c r="A46" s="3" t="s">
        <v>6</v>
      </c>
      <c r="B46">
        <v>138</v>
      </c>
      <c r="C46">
        <v>131</v>
      </c>
      <c r="D46">
        <v>110</v>
      </c>
      <c r="E46">
        <v>105</v>
      </c>
      <c r="F46">
        <v>108</v>
      </c>
      <c r="G46">
        <v>101</v>
      </c>
      <c r="H46">
        <v>102</v>
      </c>
      <c r="I46">
        <v>105</v>
      </c>
      <c r="J46">
        <v>106</v>
      </c>
      <c r="K46">
        <v>100</v>
      </c>
    </row>
    <row r="47" spans="1:11" s="3" customFormat="1">
      <c r="A47" s="3" t="s">
        <v>7</v>
      </c>
      <c r="B47">
        <v>8768</v>
      </c>
      <c r="C47">
        <v>8619</v>
      </c>
      <c r="D47">
        <v>10240</v>
      </c>
      <c r="E47">
        <v>9021</v>
      </c>
      <c r="F47">
        <v>9253</v>
      </c>
      <c r="G47">
        <v>9670</v>
      </c>
      <c r="H47">
        <v>9663</v>
      </c>
      <c r="I47">
        <v>9740</v>
      </c>
      <c r="J47">
        <v>10229</v>
      </c>
      <c r="K47">
        <v>9229</v>
      </c>
    </row>
    <row r="48" spans="1:11" s="3" customFormat="1">
      <c r="A48" s="3" t="s">
        <v>8</v>
      </c>
      <c r="B48">
        <v>2553</v>
      </c>
      <c r="C48">
        <v>2506</v>
      </c>
      <c r="D48">
        <v>2265</v>
      </c>
      <c r="E48">
        <v>2647</v>
      </c>
      <c r="F48">
        <v>2737</v>
      </c>
      <c r="G48">
        <v>2848</v>
      </c>
      <c r="H48">
        <v>2625</v>
      </c>
      <c r="I48">
        <v>2816</v>
      </c>
      <c r="J48">
        <v>2854</v>
      </c>
      <c r="K48">
        <v>2563</v>
      </c>
    </row>
    <row r="49" spans="1:11" s="3" customFormat="1">
      <c r="A49" s="3" t="s">
        <v>9</v>
      </c>
      <c r="B49">
        <v>6212</v>
      </c>
      <c r="C49">
        <v>6106</v>
      </c>
      <c r="D49">
        <v>7969</v>
      </c>
      <c r="E49">
        <v>6368</v>
      </c>
      <c r="F49">
        <v>6506</v>
      </c>
      <c r="G49">
        <v>6806</v>
      </c>
      <c r="H49">
        <v>7033</v>
      </c>
      <c r="I49">
        <v>6921</v>
      </c>
      <c r="J49">
        <v>7364</v>
      </c>
      <c r="K49">
        <v>6654</v>
      </c>
    </row>
    <row r="50" spans="1:11">
      <c r="A50" s="3" t="s">
        <v>3</v>
      </c>
      <c r="B50">
        <v>9440</v>
      </c>
      <c r="C50">
        <v>9137</v>
      </c>
      <c r="D50">
        <v>8784</v>
      </c>
      <c r="E50">
        <v>9437</v>
      </c>
      <c r="F50">
        <v>9809</v>
      </c>
      <c r="G50">
        <v>10115</v>
      </c>
      <c r="H50">
        <v>9874</v>
      </c>
      <c r="I50">
        <v>9943</v>
      </c>
      <c r="J50">
        <v>10535</v>
      </c>
      <c r="K50">
        <v>10634</v>
      </c>
    </row>
    <row r="51" spans="1:11">
      <c r="A51" s="3" t="s">
        <v>59</v>
      </c>
      <c r="B51" s="2">
        <f>B49+B48+B46+B45</f>
        <v>10069</v>
      </c>
      <c r="C51" s="2">
        <f t="shared" ref="C51:K51" si="1">C49+C48+C46+C45</f>
        <v>9919</v>
      </c>
      <c r="D51" s="2">
        <f t="shared" si="1"/>
        <v>11507</v>
      </c>
      <c r="E51" s="2">
        <f t="shared" si="1"/>
        <v>10269</v>
      </c>
      <c r="F51" s="2">
        <f t="shared" si="1"/>
        <v>10511</v>
      </c>
      <c r="G51" s="2">
        <f t="shared" si="1"/>
        <v>10958</v>
      </c>
      <c r="H51" s="2">
        <f t="shared" si="1"/>
        <v>11059</v>
      </c>
      <c r="I51" s="2">
        <f t="shared" si="1"/>
        <v>10982</v>
      </c>
      <c r="J51" s="2">
        <f t="shared" si="1"/>
        <v>11506</v>
      </c>
      <c r="K51" s="2">
        <f t="shared" si="1"/>
        <v>10472</v>
      </c>
    </row>
    <row r="52" spans="1:11">
      <c r="A52" s="3"/>
    </row>
    <row r="53" spans="1:11">
      <c r="A53" s="3"/>
    </row>
    <row r="54" spans="1:11">
      <c r="A54" s="3"/>
    </row>
    <row r="55" spans="1:11">
      <c r="A55" s="1" t="s">
        <v>25</v>
      </c>
    </row>
    <row r="56" spans="1:11" s="6" customFormat="1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>
      <c r="A57" s="3" t="s">
        <v>10</v>
      </c>
      <c r="B57">
        <v>1144</v>
      </c>
      <c r="C57">
        <v>1144</v>
      </c>
      <c r="D57">
        <v>1088</v>
      </c>
      <c r="E57">
        <v>2170</v>
      </c>
      <c r="F57">
        <v>2122</v>
      </c>
      <c r="G57">
        <v>2124</v>
      </c>
      <c r="H57">
        <v>2098</v>
      </c>
      <c r="I57">
        <v>2069</v>
      </c>
      <c r="J57">
        <v>2071</v>
      </c>
      <c r="K57">
        <v>2073</v>
      </c>
    </row>
    <row r="58" spans="1:11">
      <c r="A58" s="3" t="s">
        <v>11</v>
      </c>
      <c r="B58">
        <v>60600</v>
      </c>
      <c r="C58">
        <v>67838</v>
      </c>
      <c r="D58">
        <v>63835</v>
      </c>
      <c r="E58">
        <v>62778</v>
      </c>
      <c r="F58">
        <v>63328</v>
      </c>
      <c r="G58">
        <v>74227</v>
      </c>
      <c r="H58">
        <v>73252</v>
      </c>
      <c r="I58">
        <v>73338</v>
      </c>
      <c r="J58">
        <v>86045</v>
      </c>
      <c r="K58">
        <v>93745</v>
      </c>
    </row>
    <row r="59" spans="1:11">
      <c r="A59" s="3" t="s">
        <v>35</v>
      </c>
      <c r="B59"/>
      <c r="C59"/>
      <c r="D59"/>
      <c r="E59"/>
      <c r="F59">
        <v>4633</v>
      </c>
      <c r="G59">
        <v>5325</v>
      </c>
      <c r="H59">
        <v>5474</v>
      </c>
      <c r="I59">
        <v>8299</v>
      </c>
      <c r="J59">
        <v>8359</v>
      </c>
      <c r="K59">
        <v>8227</v>
      </c>
    </row>
    <row r="60" spans="1:11">
      <c r="A60" s="3" t="s">
        <v>36</v>
      </c>
      <c r="B60">
        <v>13354</v>
      </c>
      <c r="C60">
        <v>14166</v>
      </c>
      <c r="D60">
        <v>14426</v>
      </c>
      <c r="E60">
        <v>19118</v>
      </c>
      <c r="F60">
        <v>21717</v>
      </c>
      <c r="G60">
        <v>25835</v>
      </c>
      <c r="H60">
        <v>35905</v>
      </c>
      <c r="I60">
        <v>40890</v>
      </c>
      <c r="J60">
        <v>40885</v>
      </c>
      <c r="K60">
        <v>43750</v>
      </c>
    </row>
    <row r="61" spans="1:11" s="1" customFormat="1">
      <c r="A61" s="1" t="s">
        <v>12</v>
      </c>
      <c r="B61">
        <v>75098</v>
      </c>
      <c r="C61">
        <v>83148</v>
      </c>
      <c r="D61">
        <v>79349</v>
      </c>
      <c r="E61">
        <v>84066</v>
      </c>
      <c r="F61">
        <v>91800</v>
      </c>
      <c r="G61">
        <v>107511</v>
      </c>
      <c r="H61">
        <v>116729</v>
      </c>
      <c r="I61">
        <v>124596</v>
      </c>
      <c r="J61">
        <v>137360</v>
      </c>
      <c r="K61">
        <v>147795</v>
      </c>
    </row>
    <row r="62" spans="1:11">
      <c r="A62" s="3" t="s">
        <v>13</v>
      </c>
      <c r="B62">
        <v>13386</v>
      </c>
      <c r="C62">
        <v>14179</v>
      </c>
      <c r="D62">
        <v>12574</v>
      </c>
      <c r="E62">
        <v>15710</v>
      </c>
      <c r="F62">
        <v>23789</v>
      </c>
      <c r="G62">
        <v>25505</v>
      </c>
      <c r="H62">
        <v>25800</v>
      </c>
      <c r="I62">
        <v>29225</v>
      </c>
      <c r="J62">
        <v>27622</v>
      </c>
      <c r="K62">
        <v>30961</v>
      </c>
    </row>
    <row r="63" spans="1:11">
      <c r="A63" s="3" t="s">
        <v>14</v>
      </c>
      <c r="B63">
        <v>960</v>
      </c>
      <c r="C63">
        <v>1365</v>
      </c>
      <c r="D63">
        <v>1606</v>
      </c>
      <c r="E63">
        <v>1388</v>
      </c>
      <c r="F63">
        <v>954</v>
      </c>
      <c r="G63">
        <v>922</v>
      </c>
      <c r="H63">
        <v>416</v>
      </c>
      <c r="I63">
        <v>288</v>
      </c>
      <c r="J63">
        <v>293</v>
      </c>
      <c r="K63">
        <v>814</v>
      </c>
    </row>
    <row r="64" spans="1:11">
      <c r="A64" s="3" t="s">
        <v>15</v>
      </c>
      <c r="B64">
        <v>1892</v>
      </c>
      <c r="C64">
        <v>16423</v>
      </c>
      <c r="D64">
        <v>12163</v>
      </c>
      <c r="E64">
        <v>11261</v>
      </c>
      <c r="F64">
        <v>8792</v>
      </c>
      <c r="G64">
        <v>14205</v>
      </c>
      <c r="H64">
        <v>20324</v>
      </c>
      <c r="I64">
        <v>19478</v>
      </c>
      <c r="J64">
        <v>24623</v>
      </c>
      <c r="K64">
        <v>23541</v>
      </c>
    </row>
    <row r="65" spans="1:11">
      <c r="A65" s="3" t="s">
        <v>37</v>
      </c>
      <c r="B65">
        <v>58860</v>
      </c>
      <c r="C65">
        <v>51181</v>
      </c>
      <c r="D65">
        <v>53006</v>
      </c>
      <c r="E65">
        <v>55707</v>
      </c>
      <c r="F65">
        <v>58265</v>
      </c>
      <c r="G65">
        <v>66879</v>
      </c>
      <c r="H65">
        <v>70189</v>
      </c>
      <c r="I65">
        <v>75605</v>
      </c>
      <c r="J65">
        <v>84822</v>
      </c>
      <c r="K65">
        <v>92479</v>
      </c>
    </row>
    <row r="66" spans="1:11" s="1" customFormat="1">
      <c r="A66" s="1" t="s">
        <v>12</v>
      </c>
      <c r="B66">
        <v>75098</v>
      </c>
      <c r="C66">
        <v>83148</v>
      </c>
      <c r="D66">
        <v>79349</v>
      </c>
      <c r="E66">
        <v>84066</v>
      </c>
      <c r="F66">
        <v>91800</v>
      </c>
      <c r="G66">
        <v>107511</v>
      </c>
      <c r="H66">
        <v>116729</v>
      </c>
      <c r="I66">
        <v>124596</v>
      </c>
      <c r="J66">
        <v>137360</v>
      </c>
      <c r="K66">
        <v>147795</v>
      </c>
    </row>
    <row r="67" spans="1:11" s="3" customFormat="1">
      <c r="A67" s="3" t="s">
        <v>42</v>
      </c>
      <c r="B67">
        <v>11330</v>
      </c>
      <c r="C67">
        <v>12322</v>
      </c>
      <c r="D67">
        <v>13142</v>
      </c>
      <c r="E67">
        <v>14827</v>
      </c>
      <c r="F67">
        <v>18487</v>
      </c>
      <c r="G67">
        <v>19294</v>
      </c>
      <c r="H67">
        <v>22698</v>
      </c>
      <c r="I67">
        <v>25424</v>
      </c>
      <c r="J67">
        <v>30193</v>
      </c>
      <c r="K67">
        <v>31158</v>
      </c>
    </row>
    <row r="68" spans="1:11">
      <c r="A68" s="3" t="s">
        <v>29</v>
      </c>
      <c r="B68"/>
      <c r="C68"/>
      <c r="D68"/>
      <c r="E68"/>
      <c r="F68"/>
      <c r="G68"/>
      <c r="H68"/>
      <c r="I68"/>
      <c r="J68"/>
      <c r="K68"/>
    </row>
    <row r="69" spans="1:11">
      <c r="A69" s="2" t="s">
        <v>51</v>
      </c>
      <c r="B69">
        <v>32697</v>
      </c>
      <c r="C69">
        <v>22625</v>
      </c>
      <c r="D69">
        <v>19818</v>
      </c>
      <c r="E69">
        <v>19568</v>
      </c>
      <c r="F69">
        <v>18649</v>
      </c>
      <c r="G69">
        <v>24714</v>
      </c>
      <c r="H69">
        <v>17472</v>
      </c>
      <c r="I69">
        <v>12173</v>
      </c>
      <c r="J69">
        <v>14786</v>
      </c>
      <c r="K69">
        <v>24455</v>
      </c>
    </row>
    <row r="70" spans="1:11">
      <c r="A70" s="2" t="s">
        <v>38</v>
      </c>
      <c r="B70">
        <v>2285621088</v>
      </c>
      <c r="C70">
        <v>2285655150</v>
      </c>
      <c r="D70">
        <v>2173312301</v>
      </c>
      <c r="E70">
        <v>4335954462</v>
      </c>
      <c r="F70">
        <v>4240753210</v>
      </c>
      <c r="G70">
        <v>4245146114</v>
      </c>
      <c r="H70">
        <v>4193012929</v>
      </c>
      <c r="I70">
        <v>4136387925</v>
      </c>
      <c r="J70">
        <v>4139950635</v>
      </c>
      <c r="K70">
        <v>4143607528</v>
      </c>
    </row>
    <row r="71" spans="1:11">
      <c r="A71" s="2" t="s">
        <v>39</v>
      </c>
      <c r="B71">
        <v>1148472332</v>
      </c>
      <c r="E71">
        <v>2184191490</v>
      </c>
    </row>
    <row r="72" spans="1:11">
      <c r="A72" s="2" t="s">
        <v>52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>
      <c r="A74" s="3" t="s">
        <v>121</v>
      </c>
      <c r="B74" s="2">
        <f>B65-SUM(B67:B69)</f>
        <v>14833</v>
      </c>
      <c r="C74" s="2">
        <f t="shared" ref="C74:K74" si="2">C65-SUM(C67:C69)</f>
        <v>16234</v>
      </c>
      <c r="D74" s="2">
        <f t="shared" si="2"/>
        <v>20046</v>
      </c>
      <c r="E74" s="2">
        <f t="shared" si="2"/>
        <v>21312</v>
      </c>
      <c r="F74" s="2">
        <f t="shared" si="2"/>
        <v>21129</v>
      </c>
      <c r="G74" s="2">
        <f t="shared" si="2"/>
        <v>22871</v>
      </c>
      <c r="H74" s="2">
        <f t="shared" si="2"/>
        <v>30019</v>
      </c>
      <c r="I74" s="2">
        <f t="shared" si="2"/>
        <v>38008</v>
      </c>
      <c r="J74" s="2">
        <f t="shared" si="2"/>
        <v>39843</v>
      </c>
      <c r="K74" s="2">
        <f t="shared" si="2"/>
        <v>36866</v>
      </c>
    </row>
    <row r="75" spans="1:11">
      <c r="A75" s="3"/>
    </row>
    <row r="76" spans="1:11">
      <c r="A76" s="3" t="s">
        <v>120</v>
      </c>
      <c r="B76" s="2">
        <f>B61</f>
        <v>75098</v>
      </c>
      <c r="C76" s="2">
        <f t="shared" ref="C76:K76" si="3">C61</f>
        <v>83148</v>
      </c>
      <c r="D76" s="2">
        <f t="shared" si="3"/>
        <v>79349</v>
      </c>
      <c r="E76" s="2">
        <f t="shared" si="3"/>
        <v>84066</v>
      </c>
      <c r="F76" s="2">
        <f t="shared" si="3"/>
        <v>91800</v>
      </c>
      <c r="G76" s="2">
        <f t="shared" si="3"/>
        <v>107511</v>
      </c>
      <c r="H76" s="2">
        <f t="shared" si="3"/>
        <v>116729</v>
      </c>
      <c r="I76" s="2">
        <f t="shared" si="3"/>
        <v>124596</v>
      </c>
      <c r="J76" s="2">
        <f t="shared" si="3"/>
        <v>137360</v>
      </c>
      <c r="K76" s="2">
        <f t="shared" si="3"/>
        <v>147795</v>
      </c>
    </row>
    <row r="77" spans="1:11">
      <c r="A77" s="3"/>
    </row>
    <row r="78" spans="1:11">
      <c r="A78" s="3"/>
    </row>
    <row r="79" spans="1:11">
      <c r="A79" s="3"/>
    </row>
    <row r="80" spans="1:11">
      <c r="A80" s="1" t="s">
        <v>26</v>
      </c>
    </row>
    <row r="81" spans="1:11" s="6" customFormat="1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>
      <c r="A82" s="3" t="s">
        <v>17</v>
      </c>
      <c r="B82">
        <v>10028</v>
      </c>
      <c r="C82">
        <v>11531</v>
      </c>
      <c r="D82">
        <v>13218</v>
      </c>
      <c r="E82">
        <v>14841</v>
      </c>
      <c r="F82">
        <v>17003</v>
      </c>
      <c r="G82">
        <v>23224</v>
      </c>
      <c r="H82">
        <v>23885</v>
      </c>
      <c r="I82">
        <v>22467</v>
      </c>
      <c r="J82">
        <v>25210</v>
      </c>
      <c r="K82">
        <v>35694</v>
      </c>
    </row>
    <row r="83" spans="1:11" s="3" customFormat="1">
      <c r="A83" s="3" t="s">
        <v>18</v>
      </c>
      <c r="B83">
        <v>-885</v>
      </c>
      <c r="C83">
        <v>-14664</v>
      </c>
      <c r="D83">
        <v>4533</v>
      </c>
      <c r="E83">
        <v>-632</v>
      </c>
      <c r="F83">
        <v>-331</v>
      </c>
      <c r="G83">
        <v>-7373</v>
      </c>
      <c r="H83">
        <v>-6485</v>
      </c>
      <c r="I83">
        <v>-1071</v>
      </c>
      <c r="J83">
        <v>-5093</v>
      </c>
      <c r="K83">
        <v>-1864</v>
      </c>
    </row>
    <row r="84" spans="1:11" s="3" customFormat="1">
      <c r="A84" s="3" t="s">
        <v>19</v>
      </c>
      <c r="B84">
        <v>-6813</v>
      </c>
      <c r="C84">
        <v>-6939</v>
      </c>
      <c r="D84">
        <v>-20505</v>
      </c>
      <c r="E84">
        <v>-14512</v>
      </c>
      <c r="F84">
        <v>-17591</v>
      </c>
      <c r="G84">
        <v>-9786</v>
      </c>
      <c r="H84">
        <v>-24642</v>
      </c>
      <c r="I84">
        <v>-26695</v>
      </c>
      <c r="J84">
        <v>-17504</v>
      </c>
      <c r="K84">
        <v>-24161</v>
      </c>
    </row>
    <row r="85" spans="1:11" s="1" customFormat="1">
      <c r="A85" s="3" t="s">
        <v>20</v>
      </c>
      <c r="B85">
        <v>2330</v>
      </c>
      <c r="C85">
        <v>-10072</v>
      </c>
      <c r="D85">
        <v>-2754</v>
      </c>
      <c r="E85">
        <v>-303</v>
      </c>
      <c r="F85">
        <v>-919</v>
      </c>
      <c r="G85">
        <v>6065</v>
      </c>
      <c r="H85">
        <v>-7242</v>
      </c>
      <c r="I85">
        <v>-5299</v>
      </c>
      <c r="J85">
        <v>2613</v>
      </c>
      <c r="K85">
        <v>9669</v>
      </c>
    </row>
    <row r="86" spans="1:11">
      <c r="A86" s="3"/>
    </row>
    <row r="87" spans="1:11">
      <c r="A87" s="3"/>
    </row>
    <row r="88" spans="1:11">
      <c r="A88" s="3"/>
    </row>
    <row r="89" spans="1:11">
      <c r="A89" s="3"/>
    </row>
    <row r="90" spans="1:11" s="1" customFormat="1">
      <c r="A90" s="1" t="s">
        <v>41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>
      <c r="A92" s="1" t="s">
        <v>40</v>
      </c>
    </row>
    <row r="93" spans="1:11">
      <c r="A93" s="2" t="s">
        <v>53</v>
      </c>
      <c r="B93" s="7">
        <v>459.39</v>
      </c>
      <c r="C93" s="7">
        <v>459.39</v>
      </c>
      <c r="D93" s="7">
        <v>436.82</v>
      </c>
      <c r="E93" s="7">
        <v>436.89</v>
      </c>
      <c r="F93" s="7">
        <v>425.9</v>
      </c>
      <c r="G93" s="7">
        <v>426.07</v>
      </c>
      <c r="H93" s="7">
        <v>420.67</v>
      </c>
      <c r="I93" s="7">
        <v>414.86</v>
      </c>
      <c r="J93" s="7">
        <v>415.09</v>
      </c>
      <c r="K93" s="7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B647-8205-49A6-9A2D-C88F93A362CF}">
  <dimension ref="A2:M99"/>
  <sheetViews>
    <sheetView showGridLines="0" zoomScale="80" zoomScaleNormal="80" workbookViewId="0">
      <pane ySplit="3" topLeftCell="A13" activePane="bottomLeft" state="frozen"/>
      <selection pane="bottomLeft" activeCell="I27" sqref="I27"/>
    </sheetView>
  </sheetViews>
  <sheetFormatPr defaultRowHeight="14.4"/>
  <cols>
    <col min="1" max="1" width="1.88671875" customWidth="1"/>
    <col min="2" max="2" width="26.44140625" customWidth="1"/>
    <col min="3" max="7" width="11" bestFit="1" customWidth="1"/>
    <col min="8" max="9" width="11.21875" bestFit="1" customWidth="1"/>
    <col min="10" max="13" width="11.77734375" bestFit="1" customWidth="1"/>
  </cols>
  <sheetData>
    <row r="2" spans="1:13">
      <c r="B2" s="127" t="str">
        <f>"Historical Financial Statement - "&amp;'Data Sheet'!B1</f>
        <v>Historical Financial Statement - INFOSYS LTD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1:13">
      <c r="B3" s="12" t="s">
        <v>54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14" t="s">
        <v>55</v>
      </c>
    </row>
    <row r="4" spans="1:13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>
      <c r="A5" s="9" t="s">
        <v>56</v>
      </c>
      <c r="B5" s="21" t="s">
        <v>78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>
      <c r="B6" t="s">
        <v>57</v>
      </c>
      <c r="C6" s="8">
        <f>'Data Sheet'!B17</f>
        <v>62441</v>
      </c>
      <c r="D6" s="8">
        <f>'Data Sheet'!C17</f>
        <v>68484</v>
      </c>
      <c r="E6" s="8">
        <f>'Data Sheet'!D17</f>
        <v>70522</v>
      </c>
      <c r="F6" s="8">
        <f>'Data Sheet'!E17</f>
        <v>82675</v>
      </c>
      <c r="G6" s="8">
        <f>'Data Sheet'!F17</f>
        <v>90791</v>
      </c>
      <c r="H6" s="8">
        <f>'Data Sheet'!G17</f>
        <v>100472</v>
      </c>
      <c r="I6" s="8">
        <f>'Data Sheet'!H17</f>
        <v>121641</v>
      </c>
      <c r="J6" s="8">
        <f>'Data Sheet'!I17</f>
        <v>146767</v>
      </c>
      <c r="K6" s="8">
        <f>'Data Sheet'!J17</f>
        <v>153670</v>
      </c>
      <c r="L6" s="8">
        <f>'Data Sheet'!K17</f>
        <v>162990</v>
      </c>
      <c r="M6" s="8">
        <f>IFERROR(SUM('Data Sheet'!H42:K42),0)</f>
        <v>173173</v>
      </c>
    </row>
    <row r="7" spans="1:13">
      <c r="B7" s="15" t="s">
        <v>79</v>
      </c>
      <c r="C7" s="16" t="s">
        <v>58</v>
      </c>
      <c r="D7" s="17">
        <f>IFERROR(D6/C6-1,0)</f>
        <v>9.67793597155715E-2</v>
      </c>
      <c r="E7" s="17">
        <f t="shared" ref="E7:M7" si="0">IFERROR(E6/D6-1,0)</f>
        <v>2.9758775772443125E-2</v>
      </c>
      <c r="F7" s="17">
        <f t="shared" si="0"/>
        <v>0.17232920223476356</v>
      </c>
      <c r="G7" s="17">
        <f t="shared" si="0"/>
        <v>9.8167523435137571E-2</v>
      </c>
      <c r="H7" s="17">
        <f t="shared" si="0"/>
        <v>0.10662951173574475</v>
      </c>
      <c r="I7" s="17">
        <f t="shared" si="0"/>
        <v>0.21069551715900947</v>
      </c>
      <c r="J7" s="17">
        <f t="shared" si="0"/>
        <v>0.20655864387829759</v>
      </c>
      <c r="K7" s="17">
        <f t="shared" si="0"/>
        <v>4.7033733741236095E-2</v>
      </c>
      <c r="L7" s="17">
        <f t="shared" si="0"/>
        <v>6.0649443612936782E-2</v>
      </c>
      <c r="M7" s="17">
        <f t="shared" si="0"/>
        <v>6.2476225535308849E-2</v>
      </c>
    </row>
    <row r="9" spans="1:13">
      <c r="B9" t="s">
        <v>80</v>
      </c>
      <c r="C9" s="8">
        <f>IFERROR(SUM('Data Sheet'!B18,'Data Sheet'!B20,'Data Sheet'!B21,'Data Sheet'!B22)-1*'Data Sheet'!B19,0)</f>
        <v>40492</v>
      </c>
      <c r="D9" s="8">
        <f>IFERROR(SUM('Data Sheet'!C18,'Data Sheet'!C20,'Data Sheet'!C21,'Data Sheet'!C22)-1*'Data Sheet'!C19,0)</f>
        <v>44609</v>
      </c>
      <c r="E9" s="8">
        <f>IFERROR(SUM('Data Sheet'!D18,'Data Sheet'!D20,'Data Sheet'!D21,'Data Sheet'!D22)-1*'Data Sheet'!D19,0)</f>
        <v>46395</v>
      </c>
      <c r="F9" s="8">
        <f>IFERROR(SUM('Data Sheet'!E18,'Data Sheet'!E20,'Data Sheet'!E21,'Data Sheet'!E22)-1*'Data Sheet'!E19,0)</f>
        <v>55446</v>
      </c>
      <c r="G9" s="8">
        <f>IFERROR(SUM('Data Sheet'!F18,'Data Sheet'!F20,'Data Sheet'!F21,'Data Sheet'!F22)-1*'Data Sheet'!F19,0)</f>
        <v>62210</v>
      </c>
      <c r="H9" s="8">
        <f>IFERROR(SUM('Data Sheet'!G18,'Data Sheet'!G20,'Data Sheet'!G21,'Data Sheet'!G22)-1*'Data Sheet'!G19,0)</f>
        <v>68490</v>
      </c>
      <c r="I9" s="8">
        <f>IFERROR(SUM('Data Sheet'!H18,'Data Sheet'!H20,'Data Sheet'!H21,'Data Sheet'!H22)-1*'Data Sheet'!H19,0)</f>
        <v>84819</v>
      </c>
      <c r="J9" s="8">
        <f>IFERROR(SUM('Data Sheet'!I18,'Data Sheet'!I20,'Data Sheet'!I21,'Data Sheet'!I22)-1*'Data Sheet'!I19,0)</f>
        <v>104880</v>
      </c>
      <c r="K9" s="8">
        <f>IFERROR(SUM('Data Sheet'!J18,'Data Sheet'!J20,'Data Sheet'!J21,'Data Sheet'!J22)-1*'Data Sheet'!J19,0)</f>
        <v>110030</v>
      </c>
      <c r="L9" s="8">
        <f>IFERROR(SUM('Data Sheet'!K18,'Data Sheet'!K20,'Data Sheet'!K21,'Data Sheet'!K22)-1*'Data Sheet'!K19,0)</f>
        <v>116585</v>
      </c>
      <c r="M9" s="8">
        <f>IFERROR(SUM('Data Sheet'!H43:K43),0)</f>
        <v>132187</v>
      </c>
    </row>
    <row r="10" spans="1:13">
      <c r="B10" s="17" t="s">
        <v>81</v>
      </c>
      <c r="C10" s="17">
        <f>IFERROR(C9/C6,0)</f>
        <v>0.64848416905558848</v>
      </c>
      <c r="D10" s="17">
        <f t="shared" ref="D10:M10" si="1">IFERROR(D9/D6,0)</f>
        <v>0.65137842415746738</v>
      </c>
      <c r="E10" s="17">
        <f t="shared" si="1"/>
        <v>0.65787981055557132</v>
      </c>
      <c r="F10" s="17">
        <f t="shared" si="1"/>
        <v>0.67065013607499246</v>
      </c>
      <c r="G10" s="17">
        <f t="shared" si="1"/>
        <v>0.68520007489729162</v>
      </c>
      <c r="H10" s="17">
        <f t="shared" si="1"/>
        <v>0.68168245879448996</v>
      </c>
      <c r="I10" s="17">
        <f t="shared" si="1"/>
        <v>0.69728956519594543</v>
      </c>
      <c r="J10" s="17">
        <f t="shared" si="1"/>
        <v>0.71460205632056251</v>
      </c>
      <c r="K10" s="17">
        <f t="shared" si="1"/>
        <v>0.71601483698835167</v>
      </c>
      <c r="L10" s="17">
        <f t="shared" si="1"/>
        <v>0.71528928155101545</v>
      </c>
      <c r="M10" s="17">
        <f t="shared" si="1"/>
        <v>0.76332338182049164</v>
      </c>
    </row>
    <row r="12" spans="1:13">
      <c r="B12" s="26" t="s">
        <v>82</v>
      </c>
      <c r="C12" s="27">
        <f>C6-C9</f>
        <v>21949</v>
      </c>
      <c r="D12" s="27">
        <f t="shared" ref="D12:M12" si="2">D6-D9</f>
        <v>23875</v>
      </c>
      <c r="E12" s="27">
        <f t="shared" si="2"/>
        <v>24127</v>
      </c>
      <c r="F12" s="27">
        <f t="shared" si="2"/>
        <v>27229</v>
      </c>
      <c r="G12" s="27">
        <f t="shared" si="2"/>
        <v>28581</v>
      </c>
      <c r="H12" s="27">
        <f t="shared" si="2"/>
        <v>31982</v>
      </c>
      <c r="I12" s="27">
        <f t="shared" si="2"/>
        <v>36822</v>
      </c>
      <c r="J12" s="27">
        <f t="shared" si="2"/>
        <v>41887</v>
      </c>
      <c r="K12" s="27">
        <f t="shared" si="2"/>
        <v>43640</v>
      </c>
      <c r="L12" s="27">
        <f t="shared" si="2"/>
        <v>46405</v>
      </c>
      <c r="M12" s="27">
        <f t="shared" si="2"/>
        <v>40986</v>
      </c>
    </row>
    <row r="13" spans="1:13">
      <c r="B13" s="17" t="s">
        <v>89</v>
      </c>
      <c r="C13" s="17">
        <f>IFERROR(C12/C6,0)</f>
        <v>0.35151583094441152</v>
      </c>
      <c r="D13" s="17">
        <f t="shared" ref="D13:M13" si="3">IFERROR(D12/D6,0)</f>
        <v>0.34862157584253256</v>
      </c>
      <c r="E13" s="17">
        <f t="shared" si="3"/>
        <v>0.34212018944442868</v>
      </c>
      <c r="F13" s="17">
        <f t="shared" si="3"/>
        <v>0.32934986392500754</v>
      </c>
      <c r="G13" s="17">
        <f t="shared" si="3"/>
        <v>0.31479992510270843</v>
      </c>
      <c r="H13" s="17">
        <f t="shared" si="3"/>
        <v>0.31831754120550998</v>
      </c>
      <c r="I13" s="17">
        <f t="shared" si="3"/>
        <v>0.30271043480405457</v>
      </c>
      <c r="J13" s="17">
        <f t="shared" si="3"/>
        <v>0.28539794367943749</v>
      </c>
      <c r="K13" s="17">
        <f t="shared" si="3"/>
        <v>0.28398516301164833</v>
      </c>
      <c r="L13" s="17">
        <f t="shared" si="3"/>
        <v>0.2847107184489846</v>
      </c>
      <c r="M13" s="17">
        <f t="shared" si="3"/>
        <v>0.23667661817950836</v>
      </c>
    </row>
    <row r="15" spans="1:13">
      <c r="B15" t="s">
        <v>83</v>
      </c>
      <c r="C15" s="8">
        <f>IFERROR(SUM('Data Sheet'!B23:B24),0)</f>
        <v>4870</v>
      </c>
      <c r="D15" s="8">
        <f>IFERROR(SUM('Data Sheet'!C23:C24),0)</f>
        <v>5271</v>
      </c>
      <c r="E15" s="8">
        <f>IFERROR(SUM('Data Sheet'!D23:D24),0)</f>
        <v>5305</v>
      </c>
      <c r="F15" s="8">
        <f>IFERROR(SUM('Data Sheet'!E23:E24),0)</f>
        <v>7059</v>
      </c>
      <c r="G15" s="8">
        <f>IFERROR(SUM('Data Sheet'!F23:F24),0)</f>
        <v>6314</v>
      </c>
      <c r="H15" s="8">
        <f>IFERROR(SUM('Data Sheet'!G23:G24),0)</f>
        <v>4093</v>
      </c>
      <c r="I15" s="8">
        <f>IFERROR(SUM('Data Sheet'!H23:H24),0)</f>
        <v>5331</v>
      </c>
      <c r="J15" s="8">
        <f>IFERROR(SUM('Data Sheet'!I23:I24),0)</f>
        <v>6757</v>
      </c>
      <c r="K15" s="8">
        <f>IFERROR(SUM('Data Sheet'!J23:J24),0)</f>
        <v>7215</v>
      </c>
      <c r="L15" s="8">
        <f>IFERROR(SUM('Data Sheet'!K23:K24),0)</f>
        <v>7169</v>
      </c>
      <c r="M15" s="8">
        <f>IFERROR(SUM('Data Sheet'!L23:L24),0)</f>
        <v>0</v>
      </c>
    </row>
    <row r="16" spans="1:13">
      <c r="B16" s="17" t="s">
        <v>84</v>
      </c>
      <c r="C16" s="17">
        <f>IFERROR(C15/C6,0)</f>
        <v>7.7993625982927889E-2</v>
      </c>
      <c r="D16" s="17">
        <f t="shared" ref="D16:M16" si="4">IFERROR(D15/D6,0)</f>
        <v>7.6966882775538814E-2</v>
      </c>
      <c r="E16" s="17">
        <f t="shared" si="4"/>
        <v>7.5224752559484978E-2</v>
      </c>
      <c r="F16" s="17">
        <f t="shared" si="4"/>
        <v>8.5382521923193233E-2</v>
      </c>
      <c r="G16" s="17">
        <f t="shared" si="4"/>
        <v>6.9544338095185648E-2</v>
      </c>
      <c r="H16" s="17">
        <f t="shared" si="4"/>
        <v>4.0737717971176049E-2</v>
      </c>
      <c r="I16" s="17">
        <f t="shared" si="4"/>
        <v>4.3825683774385282E-2</v>
      </c>
      <c r="J16" s="17">
        <f t="shared" si="4"/>
        <v>4.6038959711651804E-2</v>
      </c>
      <c r="K16" s="17">
        <f t="shared" si="4"/>
        <v>4.6951259191774584E-2</v>
      </c>
      <c r="L16" s="17">
        <f t="shared" si="4"/>
        <v>4.3984293514939564E-2</v>
      </c>
      <c r="M16" s="17">
        <f t="shared" si="4"/>
        <v>0</v>
      </c>
    </row>
    <row r="18" spans="2:13">
      <c r="B18" s="26" t="s">
        <v>59</v>
      </c>
      <c r="C18" s="28">
        <f t="shared" ref="C18:L18" si="5">C12-C15</f>
        <v>17079</v>
      </c>
      <c r="D18" s="28">
        <f t="shared" si="5"/>
        <v>18604</v>
      </c>
      <c r="E18" s="28">
        <f t="shared" si="5"/>
        <v>18822</v>
      </c>
      <c r="F18" s="28">
        <f t="shared" si="5"/>
        <v>20170</v>
      </c>
      <c r="G18" s="28">
        <f t="shared" si="5"/>
        <v>22267</v>
      </c>
      <c r="H18" s="28">
        <f t="shared" si="5"/>
        <v>27889</v>
      </c>
      <c r="I18" s="28">
        <f t="shared" si="5"/>
        <v>31491</v>
      </c>
      <c r="J18" s="28">
        <f t="shared" si="5"/>
        <v>35130</v>
      </c>
      <c r="K18" s="28">
        <f t="shared" si="5"/>
        <v>36425</v>
      </c>
      <c r="L18" s="28">
        <f t="shared" si="5"/>
        <v>39236</v>
      </c>
      <c r="M18" s="28">
        <f>IFERROR(SUM('Data Sheet'!H51:K51),0)</f>
        <v>44019</v>
      </c>
    </row>
    <row r="19" spans="2:13">
      <c r="B19" s="17" t="s">
        <v>85</v>
      </c>
      <c r="C19" s="17">
        <f>IFERROR(C18/C6,0)</f>
        <v>0.27352220496148366</v>
      </c>
      <c r="D19" s="17">
        <f t="shared" ref="D19:M19" si="6">IFERROR(D18/D6,0)</f>
        <v>0.27165469306699375</v>
      </c>
      <c r="E19" s="17">
        <f t="shared" si="6"/>
        <v>0.26689543688494372</v>
      </c>
      <c r="F19" s="17">
        <f t="shared" si="6"/>
        <v>0.24396734200181433</v>
      </c>
      <c r="G19" s="17">
        <f t="shared" si="6"/>
        <v>0.24525558700752279</v>
      </c>
      <c r="H19" s="17">
        <f t="shared" si="6"/>
        <v>0.27757982323433394</v>
      </c>
      <c r="I19" s="17">
        <f t="shared" si="6"/>
        <v>0.25888475102966929</v>
      </c>
      <c r="J19" s="17">
        <f t="shared" si="6"/>
        <v>0.23935898396778568</v>
      </c>
      <c r="K19" s="17">
        <f t="shared" si="6"/>
        <v>0.23703390381987374</v>
      </c>
      <c r="L19" s="17">
        <f t="shared" si="6"/>
        <v>0.24072642493404503</v>
      </c>
      <c r="M19" s="17">
        <f t="shared" si="6"/>
        <v>0.25419089580939291</v>
      </c>
    </row>
    <row r="21" spans="2:13">
      <c r="B21" t="s">
        <v>86</v>
      </c>
      <c r="C21" s="8">
        <f>IFERROR('Data Sheet'!B27,0)</f>
        <v>0</v>
      </c>
      <c r="D21" s="8">
        <f>IFERROR('Data Sheet'!C27,0)</f>
        <v>0</v>
      </c>
      <c r="E21" s="8">
        <f>IFERROR('Data Sheet'!D27,0)</f>
        <v>0</v>
      </c>
      <c r="F21" s="8">
        <f>IFERROR('Data Sheet'!E27,0)</f>
        <v>0</v>
      </c>
      <c r="G21" s="8">
        <f>IFERROR('Data Sheet'!F27,0)</f>
        <v>170</v>
      </c>
      <c r="H21" s="8">
        <f>IFERROR('Data Sheet'!G27,0)</f>
        <v>195</v>
      </c>
      <c r="I21" s="8">
        <f>IFERROR('Data Sheet'!H27,0)</f>
        <v>200</v>
      </c>
      <c r="J21" s="8">
        <f>IFERROR('Data Sheet'!I27,0)</f>
        <v>284</v>
      </c>
      <c r="K21" s="8">
        <f>IFERROR('Data Sheet'!J27,0)</f>
        <v>470</v>
      </c>
      <c r="L21" s="8">
        <f>IFERROR('Data Sheet'!K27,0)</f>
        <v>416</v>
      </c>
      <c r="M21" s="8">
        <f>IFERROR(SUM('Data Sheet'!H46:K46),0)</f>
        <v>413</v>
      </c>
    </row>
    <row r="22" spans="2:13">
      <c r="B22" s="17" t="s">
        <v>87</v>
      </c>
      <c r="C22" s="17">
        <f>IFERROR(C21/C6,0)</f>
        <v>0</v>
      </c>
      <c r="D22" s="17">
        <f t="shared" ref="D22:M22" si="7">IFERROR(D21/D6,0)</f>
        <v>0</v>
      </c>
      <c r="E22" s="17">
        <f t="shared" si="7"/>
        <v>0</v>
      </c>
      <c r="F22" s="17">
        <f t="shared" si="7"/>
        <v>0</v>
      </c>
      <c r="G22" s="17">
        <f t="shared" si="7"/>
        <v>1.8724322895441179E-3</v>
      </c>
      <c r="H22" s="17">
        <f t="shared" si="7"/>
        <v>1.9408392387928975E-3</v>
      </c>
      <c r="I22" s="17">
        <f t="shared" si="7"/>
        <v>1.6441824713706726E-3</v>
      </c>
      <c r="J22" s="17">
        <f t="shared" si="7"/>
        <v>1.9350398931639945E-3</v>
      </c>
      <c r="K22" s="17">
        <f t="shared" si="7"/>
        <v>3.0585019847725646E-3</v>
      </c>
      <c r="L22" s="17">
        <f t="shared" si="7"/>
        <v>2.5523038223203877E-3</v>
      </c>
      <c r="M22" s="17">
        <f t="shared" si="7"/>
        <v>2.384898338655564E-3</v>
      </c>
    </row>
    <row r="24" spans="2:13">
      <c r="B24" t="s">
        <v>5</v>
      </c>
      <c r="C24" s="8">
        <f>IFERROR('Data Sheet'!B26,0)</f>
        <v>1459</v>
      </c>
      <c r="D24" s="8">
        <f>IFERROR('Data Sheet'!C26,0)</f>
        <v>1703</v>
      </c>
      <c r="E24" s="8">
        <f>IFERROR('Data Sheet'!D26,0)</f>
        <v>1863</v>
      </c>
      <c r="F24" s="8">
        <f>IFERROR('Data Sheet'!E26,0)</f>
        <v>2011</v>
      </c>
      <c r="G24" s="8">
        <f>IFERROR('Data Sheet'!F26,0)</f>
        <v>2893</v>
      </c>
      <c r="H24" s="8">
        <f>IFERROR('Data Sheet'!G26,0)</f>
        <v>3267</v>
      </c>
      <c r="I24" s="8">
        <f>IFERROR('Data Sheet'!H26,0)</f>
        <v>3476</v>
      </c>
      <c r="J24" s="8">
        <f>IFERROR('Data Sheet'!I26,0)</f>
        <v>4225</v>
      </c>
      <c r="K24" s="8">
        <f>IFERROR('Data Sheet'!J26,0)</f>
        <v>4678</v>
      </c>
      <c r="L24" s="8">
        <f>IFERROR('Data Sheet'!K26,0)</f>
        <v>4812</v>
      </c>
      <c r="M24" s="8">
        <f>IFERROR(SUM('Data Sheet'!H45:K45),0)</f>
        <v>4776</v>
      </c>
    </row>
    <row r="25" spans="2:13">
      <c r="B25" s="17" t="s">
        <v>88</v>
      </c>
      <c r="C25" s="17">
        <f>IFERROR(C24/C6,0)</f>
        <v>2.3366057558335068E-2</v>
      </c>
      <c r="D25" s="17">
        <f t="shared" ref="D25:M25" si="8">IFERROR(D24/D6,0)</f>
        <v>2.4867122247532271E-2</v>
      </c>
      <c r="E25" s="17">
        <f t="shared" si="8"/>
        <v>2.6417288222115084E-2</v>
      </c>
      <c r="F25" s="17">
        <f t="shared" si="8"/>
        <v>2.4324160870879952E-2</v>
      </c>
      <c r="G25" s="17">
        <f t="shared" si="8"/>
        <v>3.1864391845006661E-2</v>
      </c>
      <c r="H25" s="17">
        <f t="shared" si="8"/>
        <v>3.2516522016084085E-2</v>
      </c>
      <c r="I25" s="17">
        <f t="shared" si="8"/>
        <v>2.8575891352422292E-2</v>
      </c>
      <c r="J25" s="17">
        <f t="shared" si="8"/>
        <v>2.8787125171189708E-2</v>
      </c>
      <c r="K25" s="17">
        <f t="shared" si="8"/>
        <v>3.0441855925034164E-2</v>
      </c>
      <c r="L25" s="17">
        <f t="shared" si="8"/>
        <v>2.9523283637032948E-2</v>
      </c>
      <c r="M25" s="17">
        <f t="shared" si="8"/>
        <v>2.7579357059125845E-2</v>
      </c>
    </row>
    <row r="27" spans="2:13">
      <c r="B27" s="26" t="s">
        <v>90</v>
      </c>
      <c r="C27" s="28">
        <f>IFERROR(C18-SUM(C21+C24),0)</f>
        <v>15620</v>
      </c>
      <c r="D27" s="28">
        <f t="shared" ref="D27:L27" si="9">IFERROR(D18-SUM(D21+D24),0)</f>
        <v>16901</v>
      </c>
      <c r="E27" s="28">
        <f t="shared" si="9"/>
        <v>16959</v>
      </c>
      <c r="F27" s="28">
        <f t="shared" si="9"/>
        <v>18159</v>
      </c>
      <c r="G27" s="28">
        <f t="shared" si="9"/>
        <v>19204</v>
      </c>
      <c r="H27" s="28">
        <f t="shared" si="9"/>
        <v>24427</v>
      </c>
      <c r="I27" s="28">
        <f t="shared" si="9"/>
        <v>27815</v>
      </c>
      <c r="J27" s="28">
        <f t="shared" si="9"/>
        <v>30621</v>
      </c>
      <c r="K27" s="28">
        <f t="shared" si="9"/>
        <v>31277</v>
      </c>
      <c r="L27" s="28">
        <f t="shared" si="9"/>
        <v>34008</v>
      </c>
      <c r="M27" s="28">
        <f>IFERROR(M18-SUM(M21+M24),0)</f>
        <v>38830</v>
      </c>
    </row>
    <row r="28" spans="2:13">
      <c r="B28" s="17" t="s">
        <v>91</v>
      </c>
      <c r="C28" s="17">
        <f>IFERROR(C27/C6,0)</f>
        <v>0.25015614740314857</v>
      </c>
      <c r="D28" s="17">
        <f t="shared" ref="D28:M28" si="10">IFERROR(D27/D6,0)</f>
        <v>0.24678757081946148</v>
      </c>
      <c r="E28" s="17">
        <f t="shared" si="10"/>
        <v>0.24047814866282863</v>
      </c>
      <c r="F28" s="17">
        <f t="shared" si="10"/>
        <v>0.2196431811309344</v>
      </c>
      <c r="G28" s="17">
        <f t="shared" si="10"/>
        <v>0.211518762872972</v>
      </c>
      <c r="H28" s="17">
        <f t="shared" si="10"/>
        <v>0.24312246197945697</v>
      </c>
      <c r="I28" s="17">
        <f t="shared" si="10"/>
        <v>0.2286646772058763</v>
      </c>
      <c r="J28" s="17">
        <f t="shared" si="10"/>
        <v>0.20863681890343197</v>
      </c>
      <c r="K28" s="17">
        <f t="shared" si="10"/>
        <v>0.20353354591006703</v>
      </c>
      <c r="L28" s="17">
        <f t="shared" si="10"/>
        <v>0.20865083747469171</v>
      </c>
      <c r="M28" s="17">
        <f t="shared" si="10"/>
        <v>0.2242266404116115</v>
      </c>
    </row>
    <row r="30" spans="2:13">
      <c r="B30" t="s">
        <v>8</v>
      </c>
      <c r="C30" s="8">
        <f>IFERROR('Data Sheet'!B29,0)</f>
        <v>5251</v>
      </c>
      <c r="D30" s="8">
        <f>IFERROR('Data Sheet'!C29,0)</f>
        <v>5598</v>
      </c>
      <c r="E30" s="8">
        <f>IFERROR('Data Sheet'!D29,0)</f>
        <v>4241</v>
      </c>
      <c r="F30" s="8">
        <f>IFERROR('Data Sheet'!E29,0)</f>
        <v>5631</v>
      </c>
      <c r="G30" s="8">
        <f>IFERROR('Data Sheet'!F29,0)</f>
        <v>5368</v>
      </c>
      <c r="H30" s="8">
        <f>IFERROR('Data Sheet'!G29,0)</f>
        <v>7205</v>
      </c>
      <c r="I30" s="8">
        <f>IFERROR('Data Sheet'!H29,0)</f>
        <v>7964</v>
      </c>
      <c r="J30" s="8">
        <f>IFERROR('Data Sheet'!I29,0)</f>
        <v>9214</v>
      </c>
      <c r="K30" s="8">
        <f>IFERROR('Data Sheet'!J29,0)</f>
        <v>9740</v>
      </c>
      <c r="L30" s="8">
        <f>IFERROR('Data Sheet'!K29,0)</f>
        <v>10858</v>
      </c>
      <c r="M30" s="8">
        <f>IFERROR(SUM('Data Sheet'!H48:K48),0)</f>
        <v>10858</v>
      </c>
    </row>
    <row r="31" spans="2:13">
      <c r="B31" s="17" t="s">
        <v>92</v>
      </c>
      <c r="C31" s="17">
        <f>IFERROR(C30/C27,0)</f>
        <v>0.33617157490396926</v>
      </c>
      <c r="D31" s="17">
        <f t="shared" ref="D31:M31" si="11">IFERROR(D30/D27,0)</f>
        <v>0.33122300455594345</v>
      </c>
      <c r="E31" s="17">
        <f t="shared" si="11"/>
        <v>0.25007370717613064</v>
      </c>
      <c r="F31" s="17">
        <f t="shared" si="11"/>
        <v>0.31009416818106722</v>
      </c>
      <c r="G31" s="17">
        <f t="shared" si="11"/>
        <v>0.27952509893772132</v>
      </c>
      <c r="H31" s="17">
        <f t="shared" si="11"/>
        <v>0.29496049453473616</v>
      </c>
      <c r="I31" s="17">
        <f t="shared" si="11"/>
        <v>0.28632033075678592</v>
      </c>
      <c r="J31" s="17">
        <f t="shared" si="11"/>
        <v>0.30090460794879331</v>
      </c>
      <c r="K31" s="17">
        <f t="shared" si="11"/>
        <v>0.31141094094702176</v>
      </c>
      <c r="L31" s="17">
        <f t="shared" si="11"/>
        <v>0.31927781698423902</v>
      </c>
      <c r="M31" s="17">
        <f t="shared" si="11"/>
        <v>0.27962915271697142</v>
      </c>
    </row>
    <row r="33" spans="1:13">
      <c r="B33" s="26" t="s">
        <v>93</v>
      </c>
      <c r="C33" s="28">
        <f>IFERROR(C27-C30,0)</f>
        <v>10369</v>
      </c>
      <c r="D33" s="28">
        <f t="shared" ref="D33:M33" si="12">IFERROR(D27-D30,0)</f>
        <v>11303</v>
      </c>
      <c r="E33" s="28">
        <f t="shared" si="12"/>
        <v>12718</v>
      </c>
      <c r="F33" s="28">
        <f t="shared" si="12"/>
        <v>12528</v>
      </c>
      <c r="G33" s="28">
        <f t="shared" si="12"/>
        <v>13836</v>
      </c>
      <c r="H33" s="28">
        <f t="shared" si="12"/>
        <v>17222</v>
      </c>
      <c r="I33" s="28">
        <f t="shared" si="12"/>
        <v>19851</v>
      </c>
      <c r="J33" s="28">
        <f t="shared" si="12"/>
        <v>21407</v>
      </c>
      <c r="K33" s="28">
        <f t="shared" si="12"/>
        <v>21537</v>
      </c>
      <c r="L33" s="28">
        <f t="shared" si="12"/>
        <v>23150</v>
      </c>
      <c r="M33" s="28">
        <f t="shared" si="12"/>
        <v>27972</v>
      </c>
    </row>
    <row r="34" spans="1:13">
      <c r="B34" s="17" t="s">
        <v>94</v>
      </c>
      <c r="C34" s="17">
        <f>IFERROR(C33/C6,0)</f>
        <v>0.16606076135872264</v>
      </c>
      <c r="D34" s="17">
        <f t="shared" ref="D34:M34" si="13">IFERROR(D33/D6,0)</f>
        <v>0.16504585012557677</v>
      </c>
      <c r="E34" s="17">
        <f t="shared" si="13"/>
        <v>0.18034088653186239</v>
      </c>
      <c r="F34" s="17">
        <f t="shared" si="13"/>
        <v>0.1515331115814938</v>
      </c>
      <c r="G34" s="17">
        <f t="shared" si="13"/>
        <v>0.15239395975372008</v>
      </c>
      <c r="H34" s="17">
        <f t="shared" si="13"/>
        <v>0.17141094036149376</v>
      </c>
      <c r="I34" s="17">
        <f t="shared" si="13"/>
        <v>0.16319333119589613</v>
      </c>
      <c r="J34" s="17">
        <f t="shared" si="13"/>
        <v>0.14585703870761138</v>
      </c>
      <c r="K34" s="17">
        <f t="shared" si="13"/>
        <v>0.14015097286392919</v>
      </c>
      <c r="L34" s="17">
        <f t="shared" si="13"/>
        <v>0.14203325357383889</v>
      </c>
      <c r="M34" s="17">
        <f t="shared" si="13"/>
        <v>0.16152633493673957</v>
      </c>
    </row>
    <row r="36" spans="1:13">
      <c r="B36" t="s">
        <v>95</v>
      </c>
      <c r="C36">
        <f>IFERROR('Data Sheet'!B93,0)</f>
        <v>459.39</v>
      </c>
      <c r="D36">
        <f>IFERROR('Data Sheet'!C93,0)</f>
        <v>459.39</v>
      </c>
      <c r="E36">
        <f>IFERROR('Data Sheet'!D93,0)</f>
        <v>436.82</v>
      </c>
      <c r="F36">
        <f>IFERROR('Data Sheet'!E93,0)</f>
        <v>436.89</v>
      </c>
      <c r="G36">
        <f>IFERROR('Data Sheet'!F93,0)</f>
        <v>425.9</v>
      </c>
      <c r="H36">
        <f>IFERROR('Data Sheet'!G93,0)</f>
        <v>426.07</v>
      </c>
      <c r="I36">
        <f>IFERROR('Data Sheet'!H93,0)</f>
        <v>420.67</v>
      </c>
      <c r="J36">
        <f>IFERROR('Data Sheet'!I93,0)</f>
        <v>414.86</v>
      </c>
      <c r="K36">
        <f>IFERROR('Data Sheet'!J93,0)</f>
        <v>415.09</v>
      </c>
      <c r="L36">
        <f>IFERROR('Data Sheet'!K93,0)</f>
        <v>415.33</v>
      </c>
      <c r="M36">
        <f>IFERROR('Data Sheet'!L93,0)</f>
        <v>0</v>
      </c>
    </row>
    <row r="38" spans="1:13">
      <c r="B38" t="s">
        <v>96</v>
      </c>
      <c r="C38" s="8">
        <f>IFERROR(C33/C36,0)</f>
        <v>22.571235769172162</v>
      </c>
      <c r="D38" s="8">
        <f t="shared" ref="D38:M38" si="14">IFERROR(D33/D36,0)</f>
        <v>24.604366660136268</v>
      </c>
      <c r="E38" s="8">
        <f t="shared" si="14"/>
        <v>29.114967263403692</v>
      </c>
      <c r="F38" s="8">
        <f t="shared" si="14"/>
        <v>28.6754102863421</v>
      </c>
      <c r="G38" s="8">
        <f t="shared" si="14"/>
        <v>32.486499178210849</v>
      </c>
      <c r="H38" s="8">
        <f t="shared" si="14"/>
        <v>40.420588166263762</v>
      </c>
      <c r="I38" s="8">
        <f t="shared" si="14"/>
        <v>47.189008011030019</v>
      </c>
      <c r="J38" s="8">
        <f t="shared" si="14"/>
        <v>51.600539941184977</v>
      </c>
      <c r="K38" s="8">
        <f t="shared" si="14"/>
        <v>51.885133344575877</v>
      </c>
      <c r="L38" s="8">
        <f t="shared" si="14"/>
        <v>55.738810102809815</v>
      </c>
      <c r="M38" s="8">
        <f t="shared" si="14"/>
        <v>0</v>
      </c>
    </row>
    <row r="39" spans="1:13">
      <c r="B39" s="17" t="s">
        <v>98</v>
      </c>
      <c r="C39" s="17"/>
      <c r="D39" s="17">
        <f>IFERROR(D38/C38-1,0)</f>
        <v>9.0076188639213184E-2</v>
      </c>
      <c r="E39" s="17">
        <f t="shared" ref="E39:M39" si="15">E38/D38-1</f>
        <v>0.1833252066827411</v>
      </c>
      <c r="F39" s="17">
        <f t="shared" si="15"/>
        <v>-1.5097285636109792E-2</v>
      </c>
      <c r="G39" s="17">
        <f t="shared" si="15"/>
        <v>0.13290442416734827</v>
      </c>
      <c r="H39" s="17">
        <f t="shared" si="15"/>
        <v>0.24422726944288353</v>
      </c>
      <c r="I39" s="17">
        <f t="shared" si="15"/>
        <v>0.16744981089650213</v>
      </c>
      <c r="J39" s="17">
        <f t="shared" si="15"/>
        <v>9.3486430762091954E-2</v>
      </c>
      <c r="K39" s="17">
        <f t="shared" si="15"/>
        <v>5.5153183225462588E-3</v>
      </c>
      <c r="L39" s="17">
        <f t="shared" si="15"/>
        <v>7.4273236085588668E-2</v>
      </c>
      <c r="M39" s="17">
        <f t="shared" si="15"/>
        <v>-1</v>
      </c>
    </row>
    <row r="41" spans="1:13">
      <c r="B41" t="s">
        <v>97</v>
      </c>
      <c r="C41" s="8">
        <f>IFERROR('Data Sheet'!B31/HistoricalFS!C36,0)</f>
        <v>12.077755284181196</v>
      </c>
      <c r="D41" s="8">
        <f>IFERROR('Data Sheet'!C31/HistoricalFS!D36,0)</f>
        <v>12.824832930625396</v>
      </c>
      <c r="E41" s="8">
        <f>IFERROR('Data Sheet'!D31/HistoricalFS!E36,0)</f>
        <v>21.669337484547412</v>
      </c>
      <c r="F41" s="8">
        <f>IFERROR('Data Sheet'!E31/HistoricalFS!F36,0)</f>
        <v>21.109432580283368</v>
      </c>
      <c r="G41" s="8">
        <f>IFERROR('Data Sheet'!F31/HistoricalFS!G36,0)</f>
        <v>17.438365813571263</v>
      </c>
      <c r="H41" s="8">
        <f>IFERROR('Data Sheet'!G31/HistoricalFS!H36,0)</f>
        <v>26.919520266622857</v>
      </c>
      <c r="I41" s="8">
        <f>IFERROR('Data Sheet'!H31/HistoricalFS!I36,0)</f>
        <v>30.921149594694178</v>
      </c>
      <c r="J41" s="8">
        <f>IFERROR('Data Sheet'!I31/HistoricalFS!J36,0)</f>
        <v>33.913127320059779</v>
      </c>
      <c r="K41" s="8">
        <f>IFERROR('Data Sheet'!J31/HistoricalFS!K36,0)</f>
        <v>45.901370787058234</v>
      </c>
      <c r="L41" s="8">
        <f>IFERROR('Data Sheet'!K31/HistoricalFS!L36,0)</f>
        <v>42.924421544314157</v>
      </c>
      <c r="M41" s="8">
        <f>IFERROR('Data Sheet'!L31/HistoricalFS!M36,0)</f>
        <v>0</v>
      </c>
    </row>
    <row r="42" spans="1:13">
      <c r="B42" s="17" t="s">
        <v>99</v>
      </c>
      <c r="C42" s="17">
        <f>IFERROR(C41/C38,0)</f>
        <v>0.53509499469572763</v>
      </c>
      <c r="D42" s="17">
        <f t="shared" ref="D42:M42" si="16">IFERROR(D41/D38,0)</f>
        <v>0.52124214810227376</v>
      </c>
      <c r="E42" s="17">
        <f t="shared" si="16"/>
        <v>0.74426796666142481</v>
      </c>
      <c r="F42" s="17">
        <f t="shared" si="16"/>
        <v>0.73615102171136659</v>
      </c>
      <c r="G42" s="17">
        <f t="shared" si="16"/>
        <v>0.53678808904307607</v>
      </c>
      <c r="H42" s="17">
        <f t="shared" si="16"/>
        <v>0.66598536755312976</v>
      </c>
      <c r="I42" s="17">
        <f t="shared" si="16"/>
        <v>0.6552616996624856</v>
      </c>
      <c r="J42" s="17">
        <f t="shared" si="16"/>
        <v>0.65722427243425052</v>
      </c>
      <c r="K42" s="17">
        <f t="shared" si="16"/>
        <v>0.8846728885174352</v>
      </c>
      <c r="L42" s="17">
        <f t="shared" si="16"/>
        <v>0.77009935205183577</v>
      </c>
      <c r="M42" s="17">
        <f t="shared" si="16"/>
        <v>0</v>
      </c>
    </row>
    <row r="44" spans="1:13">
      <c r="B44" t="s">
        <v>100</v>
      </c>
      <c r="C44" s="10">
        <f>IFERROR(IF(C38&gt;C41,1-C42,0),0)</f>
        <v>0.46490500530427237</v>
      </c>
      <c r="D44" s="10">
        <f t="shared" ref="D44:M44" si="17">IFERROR(IF(D38&gt;D41,1-D42,0),0)</f>
        <v>0.47875785189772624</v>
      </c>
      <c r="E44" s="10">
        <f t="shared" si="17"/>
        <v>0.25573203333857519</v>
      </c>
      <c r="F44" s="10">
        <f t="shared" si="17"/>
        <v>0.26384897828863341</v>
      </c>
      <c r="G44" s="10">
        <f t="shared" si="17"/>
        <v>0.46321191095692393</v>
      </c>
      <c r="H44" s="10">
        <f t="shared" si="17"/>
        <v>0.33401463244687024</v>
      </c>
      <c r="I44" s="10">
        <f t="shared" si="17"/>
        <v>0.3447383003375144</v>
      </c>
      <c r="J44" s="10">
        <f t="shared" si="17"/>
        <v>0.34277572756574948</v>
      </c>
      <c r="K44" s="10">
        <f t="shared" si="17"/>
        <v>0.1153271114825648</v>
      </c>
      <c r="L44" s="10">
        <f t="shared" si="17"/>
        <v>0.22990064794816423</v>
      </c>
      <c r="M44" s="10">
        <f t="shared" si="17"/>
        <v>0</v>
      </c>
    </row>
    <row r="46" spans="1:13">
      <c r="A46" s="9" t="s">
        <v>56</v>
      </c>
      <c r="B46" s="21" t="s">
        <v>101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>
      <c r="B47" t="s">
        <v>10</v>
      </c>
      <c r="C47" s="8">
        <f>IFERROR('Data Sheet'!B57,0)</f>
        <v>1144</v>
      </c>
      <c r="D47" s="8">
        <f>IFERROR('Data Sheet'!C57,0)</f>
        <v>1144</v>
      </c>
      <c r="E47" s="8">
        <f>IFERROR('Data Sheet'!D57,0)</f>
        <v>1088</v>
      </c>
      <c r="F47" s="8">
        <f>IFERROR('Data Sheet'!E57,0)</f>
        <v>2170</v>
      </c>
      <c r="G47" s="8">
        <f>IFERROR('Data Sheet'!F57,0)</f>
        <v>2122</v>
      </c>
      <c r="H47" s="8">
        <f>IFERROR('Data Sheet'!G57,0)</f>
        <v>2124</v>
      </c>
      <c r="I47" s="8">
        <f>IFERROR('Data Sheet'!H57,0)</f>
        <v>2098</v>
      </c>
      <c r="J47" s="8">
        <f>IFERROR('Data Sheet'!I57,0)</f>
        <v>2069</v>
      </c>
      <c r="K47" s="8">
        <f>IFERROR('Data Sheet'!J57,0)</f>
        <v>2071</v>
      </c>
      <c r="L47" s="8">
        <f>IFERROR('Data Sheet'!K57,0)</f>
        <v>2073</v>
      </c>
    </row>
    <row r="48" spans="1:13">
      <c r="B48" t="s">
        <v>11</v>
      </c>
      <c r="C48" s="8">
        <f>IFERROR('Data Sheet'!B58,0)</f>
        <v>60600</v>
      </c>
      <c r="D48" s="8">
        <f>IFERROR('Data Sheet'!C58,0)</f>
        <v>67838</v>
      </c>
      <c r="E48" s="8">
        <f>IFERROR('Data Sheet'!D58,0)</f>
        <v>63835</v>
      </c>
      <c r="F48" s="8">
        <f>IFERROR('Data Sheet'!E58,0)</f>
        <v>62778</v>
      </c>
      <c r="G48" s="8">
        <f>IFERROR('Data Sheet'!F58,0)</f>
        <v>63328</v>
      </c>
      <c r="H48" s="8">
        <f>IFERROR('Data Sheet'!G58,0)</f>
        <v>74227</v>
      </c>
      <c r="I48" s="8">
        <f>IFERROR('Data Sheet'!H58,0)</f>
        <v>73252</v>
      </c>
      <c r="J48" s="8">
        <f>IFERROR('Data Sheet'!I58,0)</f>
        <v>73338</v>
      </c>
      <c r="K48" s="8">
        <f>IFERROR('Data Sheet'!J58,0)</f>
        <v>86045</v>
      </c>
      <c r="L48" s="8">
        <f>IFERROR('Data Sheet'!K58,0)</f>
        <v>93745</v>
      </c>
    </row>
    <row r="49" spans="2:12">
      <c r="B49" t="s">
        <v>35</v>
      </c>
      <c r="C49" s="8">
        <f>IFERROR('Data Sheet'!B59,0)</f>
        <v>0</v>
      </c>
      <c r="D49" s="8">
        <f>IFERROR('Data Sheet'!C59,0)</f>
        <v>0</v>
      </c>
      <c r="E49" s="8">
        <f>IFERROR('Data Sheet'!D59,0)</f>
        <v>0</v>
      </c>
      <c r="F49" s="8">
        <f>IFERROR('Data Sheet'!E59,0)</f>
        <v>0</v>
      </c>
      <c r="G49" s="8">
        <f>IFERROR('Data Sheet'!F59,0)</f>
        <v>4633</v>
      </c>
      <c r="H49" s="8">
        <f>IFERROR('Data Sheet'!G59,0)</f>
        <v>5325</v>
      </c>
      <c r="I49" s="8">
        <f>IFERROR('Data Sheet'!H59,0)</f>
        <v>5474</v>
      </c>
      <c r="J49" s="8">
        <f>IFERROR('Data Sheet'!I59,0)</f>
        <v>8299</v>
      </c>
      <c r="K49" s="8">
        <f>IFERROR('Data Sheet'!J59,0)</f>
        <v>8359</v>
      </c>
      <c r="L49" s="8">
        <f>IFERROR('Data Sheet'!K59,0)</f>
        <v>8227</v>
      </c>
    </row>
    <row r="50" spans="2:12">
      <c r="B50" t="s">
        <v>36</v>
      </c>
      <c r="C50" s="8">
        <f>IFERROR('Data Sheet'!B60,0)</f>
        <v>13354</v>
      </c>
      <c r="D50" s="8">
        <f>IFERROR('Data Sheet'!C60,0)</f>
        <v>14166</v>
      </c>
      <c r="E50" s="8">
        <f>IFERROR('Data Sheet'!D60,0)</f>
        <v>14426</v>
      </c>
      <c r="F50" s="8">
        <f>IFERROR('Data Sheet'!E60,0)</f>
        <v>19118</v>
      </c>
      <c r="G50" s="8">
        <f>IFERROR('Data Sheet'!F60,0)</f>
        <v>21717</v>
      </c>
      <c r="H50" s="8">
        <f>IFERROR('Data Sheet'!G60,0)</f>
        <v>25835</v>
      </c>
      <c r="I50" s="8">
        <f>IFERROR('Data Sheet'!H60,0)</f>
        <v>35905</v>
      </c>
      <c r="J50" s="8">
        <f>IFERROR('Data Sheet'!I60,0)</f>
        <v>40890</v>
      </c>
      <c r="K50" s="8">
        <f>IFERROR('Data Sheet'!J60,0)</f>
        <v>40885</v>
      </c>
      <c r="L50" s="8">
        <f>IFERROR('Data Sheet'!K60,0)</f>
        <v>43750</v>
      </c>
    </row>
    <row r="51" spans="2:12">
      <c r="B51" s="26" t="s">
        <v>102</v>
      </c>
      <c r="C51" s="28">
        <f>IFERROR('Data Sheet'!B61,0)</f>
        <v>75098</v>
      </c>
      <c r="D51" s="28">
        <f>IFERROR('Data Sheet'!C61,0)</f>
        <v>83148</v>
      </c>
      <c r="E51" s="28">
        <f>IFERROR('Data Sheet'!D61,0)</f>
        <v>79349</v>
      </c>
      <c r="F51" s="28">
        <f>IFERROR('Data Sheet'!E61,0)</f>
        <v>84066</v>
      </c>
      <c r="G51" s="28">
        <f>IFERROR('Data Sheet'!F61,0)</f>
        <v>91800</v>
      </c>
      <c r="H51" s="28">
        <f>IFERROR('Data Sheet'!G61,0)</f>
        <v>107511</v>
      </c>
      <c r="I51" s="28">
        <f>IFERROR('Data Sheet'!H61,0)</f>
        <v>116729</v>
      </c>
      <c r="J51" s="28">
        <f>IFERROR('Data Sheet'!I61,0)</f>
        <v>124596</v>
      </c>
      <c r="K51" s="28">
        <f>IFERROR('Data Sheet'!J61,0)</f>
        <v>137360</v>
      </c>
      <c r="L51" s="28">
        <f>IFERROR('Data Sheet'!K61,0)</f>
        <v>147795</v>
      </c>
    </row>
    <row r="53" spans="2:12">
      <c r="B53" t="s">
        <v>103</v>
      </c>
      <c r="C53" s="8">
        <f>IFERROR('Data Sheet'!B62,0)</f>
        <v>13386</v>
      </c>
      <c r="D53" s="8">
        <f>IFERROR('Data Sheet'!C62,0)</f>
        <v>14179</v>
      </c>
      <c r="E53" s="8">
        <f>IFERROR('Data Sheet'!D62,0)</f>
        <v>12574</v>
      </c>
      <c r="F53" s="8">
        <f>IFERROR('Data Sheet'!E62,0)</f>
        <v>15710</v>
      </c>
      <c r="G53" s="8">
        <f>IFERROR('Data Sheet'!F62,0)</f>
        <v>23789</v>
      </c>
      <c r="H53" s="8">
        <f>IFERROR('Data Sheet'!G62,0)</f>
        <v>25505</v>
      </c>
      <c r="I53" s="8">
        <f>IFERROR('Data Sheet'!H62,0)</f>
        <v>25800</v>
      </c>
      <c r="J53" s="8">
        <f>IFERROR('Data Sheet'!I62,0)</f>
        <v>29225</v>
      </c>
      <c r="K53" s="8">
        <f>IFERROR('Data Sheet'!J62,0)</f>
        <v>27622</v>
      </c>
      <c r="L53" s="8">
        <f>IFERROR('Data Sheet'!K62,0)</f>
        <v>30961</v>
      </c>
    </row>
    <row r="54" spans="2:12">
      <c r="B54" t="s">
        <v>14</v>
      </c>
      <c r="C54" s="8">
        <f>IFERROR('Data Sheet'!B63,0)</f>
        <v>960</v>
      </c>
      <c r="D54" s="8">
        <f>IFERROR('Data Sheet'!C63,0)</f>
        <v>1365</v>
      </c>
      <c r="E54" s="8">
        <f>IFERROR('Data Sheet'!D63,0)</f>
        <v>1606</v>
      </c>
      <c r="F54" s="8">
        <f>IFERROR('Data Sheet'!E63,0)</f>
        <v>1388</v>
      </c>
      <c r="G54" s="8">
        <f>IFERROR('Data Sheet'!F63,0)</f>
        <v>954</v>
      </c>
      <c r="H54" s="8">
        <f>IFERROR('Data Sheet'!G63,0)</f>
        <v>922</v>
      </c>
      <c r="I54" s="8">
        <f>IFERROR('Data Sheet'!H63,0)</f>
        <v>416</v>
      </c>
      <c r="J54" s="8">
        <f>IFERROR('Data Sheet'!I63,0)</f>
        <v>288</v>
      </c>
      <c r="K54" s="8">
        <f>IFERROR('Data Sheet'!J63,0)</f>
        <v>293</v>
      </c>
      <c r="L54" s="8">
        <f>IFERROR('Data Sheet'!K63,0)</f>
        <v>814</v>
      </c>
    </row>
    <row r="55" spans="2:12">
      <c r="B55" t="s">
        <v>15</v>
      </c>
      <c r="C55" s="8">
        <f>IFERROR('Data Sheet'!B64,0)</f>
        <v>1892</v>
      </c>
      <c r="D55" s="8">
        <f>IFERROR('Data Sheet'!C64,0)</f>
        <v>16423</v>
      </c>
      <c r="E55" s="8">
        <f>IFERROR('Data Sheet'!D64,0)</f>
        <v>12163</v>
      </c>
      <c r="F55" s="8">
        <f>IFERROR('Data Sheet'!E64,0)</f>
        <v>11261</v>
      </c>
      <c r="G55" s="8">
        <f>IFERROR('Data Sheet'!F64,0)</f>
        <v>8792</v>
      </c>
      <c r="H55" s="8">
        <f>IFERROR('Data Sheet'!G64,0)</f>
        <v>14205</v>
      </c>
      <c r="I55" s="8">
        <f>IFERROR('Data Sheet'!H64,0)</f>
        <v>20324</v>
      </c>
      <c r="J55" s="8">
        <f>IFERROR('Data Sheet'!I64,0)</f>
        <v>19478</v>
      </c>
      <c r="K55" s="8">
        <f>IFERROR('Data Sheet'!J64,0)</f>
        <v>24623</v>
      </c>
      <c r="L55" s="8">
        <f>IFERROR('Data Sheet'!K64,0)</f>
        <v>23541</v>
      </c>
    </row>
    <row r="56" spans="2:12">
      <c r="B56" t="s">
        <v>37</v>
      </c>
      <c r="C56" s="8">
        <f>IFERROR('Data Sheet'!B65-(SUM('Data Sheet'!B67:B69)),0)</f>
        <v>14833</v>
      </c>
      <c r="D56" s="8">
        <f>IFERROR('Data Sheet'!C65-(SUM('Data Sheet'!C67:C69)),0)</f>
        <v>16234</v>
      </c>
      <c r="E56" s="8">
        <f>IFERROR('Data Sheet'!D65-(SUM('Data Sheet'!D67:D69)),0)</f>
        <v>20046</v>
      </c>
      <c r="F56" s="8">
        <f>IFERROR('Data Sheet'!E65-(SUM('Data Sheet'!E67:E69)),0)</f>
        <v>21312</v>
      </c>
      <c r="G56" s="8">
        <f>IFERROR('Data Sheet'!F65-(SUM('Data Sheet'!F67:F69)),0)</f>
        <v>21129</v>
      </c>
      <c r="H56" s="8">
        <f>IFERROR('Data Sheet'!G65-(SUM('Data Sheet'!G67:G69)),0)</f>
        <v>22871</v>
      </c>
      <c r="I56" s="8">
        <f>IFERROR('Data Sheet'!H65-(SUM('Data Sheet'!H67:H69)),0)</f>
        <v>30019</v>
      </c>
      <c r="J56" s="8">
        <f>IFERROR('Data Sheet'!I65-(SUM('Data Sheet'!I67:I69)),0)</f>
        <v>38008</v>
      </c>
      <c r="K56" s="8">
        <f>IFERROR('Data Sheet'!J65-(SUM('Data Sheet'!J67:J69)),0)</f>
        <v>39843</v>
      </c>
      <c r="L56" s="8">
        <f>IFERROR('Data Sheet'!K65-(SUM('Data Sheet'!K67:K69)),0)</f>
        <v>36866</v>
      </c>
    </row>
    <row r="57" spans="2:12">
      <c r="B57" s="26" t="s">
        <v>104</v>
      </c>
      <c r="C57" s="28">
        <f>IFERROR(SUM(C53:C56),0)</f>
        <v>31071</v>
      </c>
      <c r="D57" s="28">
        <f t="shared" ref="D57:L57" si="18">IFERROR(SUM(D53:D56),0)</f>
        <v>48201</v>
      </c>
      <c r="E57" s="28">
        <f t="shared" si="18"/>
        <v>46389</v>
      </c>
      <c r="F57" s="28">
        <f t="shared" si="18"/>
        <v>49671</v>
      </c>
      <c r="G57" s="28">
        <f t="shared" si="18"/>
        <v>54664</v>
      </c>
      <c r="H57" s="28">
        <f t="shared" si="18"/>
        <v>63503</v>
      </c>
      <c r="I57" s="28">
        <f t="shared" si="18"/>
        <v>76559</v>
      </c>
      <c r="J57" s="28">
        <f t="shared" si="18"/>
        <v>86999</v>
      </c>
      <c r="K57" s="28">
        <f t="shared" si="18"/>
        <v>92381</v>
      </c>
      <c r="L57" s="28">
        <f t="shared" si="18"/>
        <v>92182</v>
      </c>
    </row>
    <row r="58" spans="2:12">
      <c r="B58" s="9"/>
    </row>
    <row r="59" spans="2:12">
      <c r="B59" t="s">
        <v>42</v>
      </c>
      <c r="C59" s="8">
        <f>IFERROR('Data Sheet'!B67,0)</f>
        <v>11330</v>
      </c>
      <c r="D59" s="8">
        <f>IFERROR('Data Sheet'!C67,0)</f>
        <v>12322</v>
      </c>
      <c r="E59" s="8">
        <f>IFERROR('Data Sheet'!D67,0)</f>
        <v>13142</v>
      </c>
      <c r="F59" s="8">
        <f>IFERROR('Data Sheet'!E67,0)</f>
        <v>14827</v>
      </c>
      <c r="G59" s="8">
        <f>IFERROR('Data Sheet'!F67,0)</f>
        <v>18487</v>
      </c>
      <c r="H59" s="8">
        <f>IFERROR('Data Sheet'!G67,0)</f>
        <v>19294</v>
      </c>
      <c r="I59" s="8">
        <f>IFERROR('Data Sheet'!H67,0)</f>
        <v>22698</v>
      </c>
      <c r="J59" s="8">
        <f>IFERROR('Data Sheet'!I67,0)</f>
        <v>25424</v>
      </c>
      <c r="K59" s="8">
        <f>IFERROR('Data Sheet'!J67,0)</f>
        <v>30193</v>
      </c>
      <c r="L59" s="8">
        <f>IFERROR('Data Sheet'!K67,0)</f>
        <v>31158</v>
      </c>
    </row>
    <row r="60" spans="2:12">
      <c r="B60" t="s">
        <v>29</v>
      </c>
      <c r="C60" s="8">
        <f>IFERROR('Data Sheet'!B68,0)</f>
        <v>0</v>
      </c>
      <c r="D60" s="8">
        <f>IFERROR('Data Sheet'!C68,0)</f>
        <v>0</v>
      </c>
      <c r="E60" s="8">
        <f>IFERROR('Data Sheet'!D68,0)</f>
        <v>0</v>
      </c>
      <c r="F60" s="8">
        <f>IFERROR('Data Sheet'!E68,0)</f>
        <v>0</v>
      </c>
      <c r="G60" s="8">
        <f>IFERROR('Data Sheet'!F68,0)</f>
        <v>0</v>
      </c>
      <c r="H60" s="8">
        <f>IFERROR('Data Sheet'!G68,0)</f>
        <v>0</v>
      </c>
      <c r="I60" s="8">
        <f>IFERROR('Data Sheet'!H68,0)</f>
        <v>0</v>
      </c>
      <c r="J60" s="8">
        <f>IFERROR('Data Sheet'!I68,0)</f>
        <v>0</v>
      </c>
      <c r="K60" s="8">
        <f>IFERROR('Data Sheet'!J68,0)</f>
        <v>0</v>
      </c>
      <c r="L60" s="8">
        <f>IFERROR('Data Sheet'!K68,0)</f>
        <v>0</v>
      </c>
    </row>
    <row r="61" spans="2:12">
      <c r="B61" t="s">
        <v>51</v>
      </c>
      <c r="C61" s="8">
        <f>IFERROR('Data Sheet'!B69,0)</f>
        <v>32697</v>
      </c>
      <c r="D61" s="8">
        <f>IFERROR('Data Sheet'!C69,0)</f>
        <v>22625</v>
      </c>
      <c r="E61" s="8">
        <f>IFERROR('Data Sheet'!D69,0)</f>
        <v>19818</v>
      </c>
      <c r="F61" s="8">
        <f>IFERROR('Data Sheet'!E69,0)</f>
        <v>19568</v>
      </c>
      <c r="G61" s="8">
        <f>IFERROR('Data Sheet'!F69,0)</f>
        <v>18649</v>
      </c>
      <c r="H61" s="8">
        <f>IFERROR('Data Sheet'!G69,0)</f>
        <v>24714</v>
      </c>
      <c r="I61" s="8">
        <f>IFERROR('Data Sheet'!H69,0)</f>
        <v>17472</v>
      </c>
      <c r="J61" s="8">
        <f>IFERROR('Data Sheet'!I69,0)</f>
        <v>12173</v>
      </c>
      <c r="K61" s="8">
        <f>IFERROR('Data Sheet'!J69,0)</f>
        <v>14786</v>
      </c>
      <c r="L61" s="8">
        <f>IFERROR('Data Sheet'!K69,0)</f>
        <v>24455</v>
      </c>
    </row>
    <row r="62" spans="2:12">
      <c r="B62" s="26" t="s">
        <v>105</v>
      </c>
      <c r="C62" s="28">
        <f>IFERROR(SUM(C59:C61),0)</f>
        <v>44027</v>
      </c>
      <c r="D62" s="28">
        <f t="shared" ref="D62:L62" si="19">IFERROR(SUM(D59:D61),0)</f>
        <v>34947</v>
      </c>
      <c r="E62" s="28">
        <f t="shared" si="19"/>
        <v>32960</v>
      </c>
      <c r="F62" s="28">
        <f t="shared" si="19"/>
        <v>34395</v>
      </c>
      <c r="G62" s="28">
        <f t="shared" si="19"/>
        <v>37136</v>
      </c>
      <c r="H62" s="28">
        <f t="shared" si="19"/>
        <v>44008</v>
      </c>
      <c r="I62" s="28">
        <f t="shared" si="19"/>
        <v>40170</v>
      </c>
      <c r="J62" s="28">
        <f t="shared" si="19"/>
        <v>37597</v>
      </c>
      <c r="K62" s="28">
        <f t="shared" si="19"/>
        <v>44979</v>
      </c>
      <c r="L62" s="28">
        <f t="shared" si="19"/>
        <v>55613</v>
      </c>
    </row>
    <row r="64" spans="2:12">
      <c r="B64" s="26" t="s">
        <v>106</v>
      </c>
      <c r="C64" s="28">
        <f>IFERROR(SUM(C57+C62),0)</f>
        <v>75098</v>
      </c>
      <c r="D64" s="28">
        <f t="shared" ref="D64:L64" si="20">IFERROR(SUM(D57+D62),0)</f>
        <v>83148</v>
      </c>
      <c r="E64" s="28">
        <f t="shared" si="20"/>
        <v>79349</v>
      </c>
      <c r="F64" s="28">
        <f t="shared" si="20"/>
        <v>84066</v>
      </c>
      <c r="G64" s="28">
        <f t="shared" si="20"/>
        <v>91800</v>
      </c>
      <c r="H64" s="28">
        <f t="shared" si="20"/>
        <v>107511</v>
      </c>
      <c r="I64" s="28">
        <f t="shared" si="20"/>
        <v>116729</v>
      </c>
      <c r="J64" s="28">
        <f t="shared" si="20"/>
        <v>124596</v>
      </c>
      <c r="K64" s="28">
        <f t="shared" si="20"/>
        <v>137360</v>
      </c>
      <c r="L64" s="28">
        <f t="shared" si="20"/>
        <v>147795</v>
      </c>
    </row>
    <row r="66" spans="1:13">
      <c r="B66" s="24" t="s">
        <v>107</v>
      </c>
      <c r="C66" s="24" t="b">
        <f>C64=C51</f>
        <v>1</v>
      </c>
      <c r="D66" s="24" t="b">
        <f t="shared" ref="D66:L66" si="21">D64=D51</f>
        <v>1</v>
      </c>
      <c r="E66" s="24" t="b">
        <f t="shared" si="21"/>
        <v>1</v>
      </c>
      <c r="F66" s="24" t="b">
        <f t="shared" si="21"/>
        <v>1</v>
      </c>
      <c r="G66" s="24" t="b">
        <f t="shared" si="21"/>
        <v>1</v>
      </c>
      <c r="H66" s="24" t="b">
        <f t="shared" si="21"/>
        <v>1</v>
      </c>
      <c r="I66" s="24" t="b">
        <f t="shared" si="21"/>
        <v>1</v>
      </c>
      <c r="J66" s="24" t="b">
        <f t="shared" si="21"/>
        <v>1</v>
      </c>
      <c r="K66" s="24" t="b">
        <f t="shared" si="21"/>
        <v>1</v>
      </c>
      <c r="L66" s="24" t="b">
        <f t="shared" si="21"/>
        <v>1</v>
      </c>
    </row>
    <row r="68" spans="1:13">
      <c r="A68" s="9" t="s">
        <v>56</v>
      </c>
      <c r="B68" s="21" t="s">
        <v>112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>
      <c r="B69" s="9" t="s">
        <v>114</v>
      </c>
    </row>
    <row r="70" spans="1:13">
      <c r="B70" t="s">
        <v>60</v>
      </c>
      <c r="C70" s="8">
        <f>IFERROR('Cash Flow Data'!E4,0)</f>
        <v>17839</v>
      </c>
      <c r="D70" s="8">
        <f>IFERROR('Cash Flow Data'!F4,0)</f>
        <v>19340</v>
      </c>
      <c r="E70" s="8">
        <f>IFERROR('Cash Flow Data'!G4,0)</f>
        <v>19963</v>
      </c>
      <c r="F70" s="8">
        <f>IFERROR('Cash Flow Data'!H4,0)</f>
        <v>22126</v>
      </c>
      <c r="G70" s="8">
        <f>IFERROR('Cash Flow Data'!I4,0)</f>
        <v>23920</v>
      </c>
      <c r="H70" s="8">
        <f>IFERROR('Cash Flow Data'!J4,0)</f>
        <v>28845</v>
      </c>
      <c r="I70" s="8">
        <f>IFERROR('Cash Flow Data'!K4,0)</f>
        <v>32921</v>
      </c>
      <c r="J70" s="8">
        <f>IFERROR('Cash Flow Data'!L4,0)</f>
        <v>37605</v>
      </c>
      <c r="K70" s="8">
        <f>IFERROR('Cash Flow Data'!M4,0)</f>
        <v>39523</v>
      </c>
      <c r="L70" s="8">
        <f>IFERROR('Cash Flow Data'!N4,0)</f>
        <v>41591</v>
      </c>
    </row>
    <row r="71" spans="1:13">
      <c r="B71" t="s">
        <v>42</v>
      </c>
      <c r="C71" s="8">
        <f>IFERROR('Cash Flow Data'!E5,0)</f>
        <v>-1654</v>
      </c>
      <c r="D71" s="8">
        <f>IFERROR('Cash Flow Data'!F5,0)</f>
        <v>-1743</v>
      </c>
      <c r="E71" s="8">
        <f>IFERROR('Cash Flow Data'!G5,0)</f>
        <v>-1523</v>
      </c>
      <c r="F71" s="8">
        <f>IFERROR('Cash Flow Data'!H5,0)</f>
        <v>-2881</v>
      </c>
      <c r="G71" s="8">
        <f>IFERROR('Cash Flow Data'!I5,0)</f>
        <v>-3861</v>
      </c>
      <c r="H71" s="8">
        <f>IFERROR('Cash Flow Data'!J5,0)</f>
        <v>-1835</v>
      </c>
      <c r="I71" s="8">
        <f>IFERROR('Cash Flow Data'!K5,0)</f>
        <v>-7937</v>
      </c>
      <c r="J71" s="8">
        <f>IFERROR('Cash Flow Data'!L5,0)</f>
        <v>-7076</v>
      </c>
      <c r="K71" s="8">
        <f>IFERROR('Cash Flow Data'!M5,0)</f>
        <v>-2667</v>
      </c>
      <c r="L71" s="8">
        <f>IFERROR('Cash Flow Data'!N5,0)</f>
        <v>-1769</v>
      </c>
    </row>
    <row r="72" spans="1:13">
      <c r="B72" t="s">
        <v>61</v>
      </c>
      <c r="C72" s="8">
        <f>IFERROR('Cash Flow Data'!E6,0)</f>
        <v>242</v>
      </c>
      <c r="D72" s="8">
        <f>IFERROR('Cash Flow Data'!F6,0)</f>
        <v>-19</v>
      </c>
      <c r="E72" s="8">
        <f>IFERROR('Cash Flow Data'!G6,0)</f>
        <v>328</v>
      </c>
      <c r="F72" s="8">
        <f>IFERROR('Cash Flow Data'!H6,0)</f>
        <v>916</v>
      </c>
      <c r="G72" s="8">
        <f>IFERROR('Cash Flow Data'!I6,0)</f>
        <v>-373</v>
      </c>
      <c r="H72" s="8">
        <f>IFERROR('Cash Flow Data'!J6,0)</f>
        <v>-245</v>
      </c>
      <c r="I72" s="8">
        <f>IFERROR('Cash Flow Data'!K6,0)</f>
        <v>1489</v>
      </c>
      <c r="J72" s="8">
        <f>IFERROR('Cash Flow Data'!L6,0)</f>
        <v>-279</v>
      </c>
      <c r="K72" s="8">
        <f>IFERROR('Cash Flow Data'!M6,0)</f>
        <v>91</v>
      </c>
      <c r="L72" s="8">
        <f>IFERROR('Cash Flow Data'!N6,0)</f>
        <v>176</v>
      </c>
    </row>
    <row r="73" spans="1:13">
      <c r="B73" t="s">
        <v>109</v>
      </c>
      <c r="C73" s="8">
        <f>IFERROR('Cash Flow Data'!E7,0)</f>
        <v>-1134</v>
      </c>
      <c r="D73" s="8">
        <f>IFERROR('Cash Flow Data'!F7,0)</f>
        <v>0</v>
      </c>
      <c r="E73" s="8">
        <f>IFERROR('Cash Flow Data'!G7,0)</f>
        <v>0</v>
      </c>
      <c r="F73" s="8">
        <f>IFERROR('Cash Flow Data'!H7,0)</f>
        <v>0</v>
      </c>
      <c r="G73" s="8">
        <f>IFERROR('Cash Flow Data'!I7,0)</f>
        <v>0</v>
      </c>
      <c r="H73" s="8">
        <f>IFERROR('Cash Flow Data'!J7,0)</f>
        <v>-534</v>
      </c>
      <c r="I73" s="8">
        <f>IFERROR('Cash Flow Data'!K7,0)</f>
        <v>-1914</v>
      </c>
      <c r="J73" s="8">
        <f>IFERROR('Cash Flow Data'!L7,0)</f>
        <v>-3108</v>
      </c>
      <c r="K73" s="8">
        <f>IFERROR('Cash Flow Data'!M7,0)</f>
        <v>-1172</v>
      </c>
      <c r="L73" s="8">
        <f>IFERROR('Cash Flow Data'!N7,0)</f>
        <v>-1024</v>
      </c>
    </row>
    <row r="74" spans="1:13">
      <c r="B74" t="s">
        <v>62</v>
      </c>
      <c r="C74" s="8">
        <f>IFERROR('Cash Flow Data'!E8,0)</f>
        <v>600</v>
      </c>
      <c r="D74" s="8">
        <f>IFERROR('Cash Flow Data'!F8,0)</f>
        <v>-394</v>
      </c>
      <c r="E74" s="8">
        <f>IFERROR('Cash Flow Data'!G8,0)</f>
        <v>1279</v>
      </c>
      <c r="F74" s="8">
        <f>IFERROR('Cash Flow Data'!H8,0)</f>
        <v>1512</v>
      </c>
      <c r="G74" s="8">
        <f>IFERROR('Cash Flow Data'!I8,0)</f>
        <v>1867</v>
      </c>
      <c r="H74" s="8">
        <f>IFERROR('Cash Flow Data'!J8,0)</f>
        <v>3382</v>
      </c>
      <c r="I74" s="8">
        <f>IFERROR('Cash Flow Data'!K8,0)</f>
        <v>6938</v>
      </c>
      <c r="J74" s="8">
        <f>IFERROR('Cash Flow Data'!L8,0)</f>
        <v>4119</v>
      </c>
      <c r="K74" s="8">
        <f>IFERROR('Cash Flow Data'!M8,0)</f>
        <v>-1334</v>
      </c>
      <c r="L74" s="8">
        <f>IFERROR('Cash Flow Data'!N8,0)</f>
        <v>2322</v>
      </c>
    </row>
    <row r="75" spans="1:13">
      <c r="B75" t="s">
        <v>63</v>
      </c>
      <c r="C75" s="8">
        <f>IFERROR('Cash Flow Data'!E9,0)</f>
        <v>-1946</v>
      </c>
      <c r="D75" s="8">
        <f>IFERROR('Cash Flow Data'!F9,0)</f>
        <v>-2156</v>
      </c>
      <c r="E75" s="8">
        <f>IFERROR('Cash Flow Data'!G9,0)</f>
        <v>84</v>
      </c>
      <c r="F75" s="8">
        <f>IFERROR('Cash Flow Data'!H9,0)</f>
        <v>-453</v>
      </c>
      <c r="G75" s="8">
        <f>IFERROR('Cash Flow Data'!I9,0)</f>
        <v>-2367</v>
      </c>
      <c r="H75" s="8">
        <f>IFERROR('Cash Flow Data'!J9,0)</f>
        <v>768</v>
      </c>
      <c r="I75" s="8">
        <f>IFERROR('Cash Flow Data'!K9,0)</f>
        <v>-1424</v>
      </c>
      <c r="J75" s="8">
        <f>IFERROR('Cash Flow Data'!L9,0)</f>
        <v>-6344</v>
      </c>
      <c r="K75" s="8">
        <f>IFERROR('Cash Flow Data'!M9,0)</f>
        <v>-5082</v>
      </c>
      <c r="L75" s="8">
        <f>IFERROR('Cash Flow Data'!N9,0)</f>
        <v>-295</v>
      </c>
    </row>
    <row r="76" spans="1:13">
      <c r="B76" t="s">
        <v>64</v>
      </c>
      <c r="C76" s="8">
        <f>IFERROR('Cash Flow Data'!E10,0)</f>
        <v>-5865</v>
      </c>
      <c r="D76" s="8">
        <f>IFERROR('Cash Flow Data'!F10,0)</f>
        <v>-5653</v>
      </c>
      <c r="E76" s="8">
        <f>IFERROR('Cash Flow Data'!G10,0)</f>
        <v>-6829</v>
      </c>
      <c r="F76" s="8">
        <f>IFERROR('Cash Flow Data'!H10,0)</f>
        <v>-6832</v>
      </c>
      <c r="G76" s="8">
        <f>IFERROR('Cash Flow Data'!I10,0)</f>
        <v>-4550</v>
      </c>
      <c r="H76" s="8">
        <f>IFERROR('Cash Flow Data'!J10,0)</f>
        <v>-6389</v>
      </c>
      <c r="I76" s="8">
        <f>IFERROR('Cash Flow Data'!K10,0)</f>
        <v>-7612</v>
      </c>
      <c r="J76" s="8">
        <f>IFERROR('Cash Flow Data'!L10,0)</f>
        <v>-8794</v>
      </c>
      <c r="K76" s="8">
        <f>IFERROR('Cash Flow Data'!M10,0)</f>
        <v>-9231</v>
      </c>
      <c r="L76" s="8">
        <f>IFERROR('Cash Flow Data'!N10,0)</f>
        <v>-5602</v>
      </c>
    </row>
    <row r="77" spans="1:13">
      <c r="B77" s="9" t="s">
        <v>113</v>
      </c>
      <c r="C77" s="23">
        <f>IFERROR(SUM(C70+C75+C76),0)</f>
        <v>10028</v>
      </c>
      <c r="D77" s="23">
        <f t="shared" ref="D77:L77" si="22">IFERROR(SUM(D70+D75+D76),0)</f>
        <v>11531</v>
      </c>
      <c r="E77" s="23">
        <f t="shared" si="22"/>
        <v>13218</v>
      </c>
      <c r="F77" s="23">
        <f t="shared" si="22"/>
        <v>14841</v>
      </c>
      <c r="G77" s="23">
        <f t="shared" si="22"/>
        <v>17003</v>
      </c>
      <c r="H77" s="23">
        <f t="shared" si="22"/>
        <v>23224</v>
      </c>
      <c r="I77" s="23">
        <f t="shared" si="22"/>
        <v>23885</v>
      </c>
      <c r="J77" s="23">
        <f t="shared" si="22"/>
        <v>22467</v>
      </c>
      <c r="K77" s="23">
        <f t="shared" si="22"/>
        <v>25210</v>
      </c>
      <c r="L77" s="23">
        <f t="shared" si="22"/>
        <v>35694</v>
      </c>
    </row>
    <row r="79" spans="1:13">
      <c r="B79" s="9" t="s">
        <v>115</v>
      </c>
    </row>
    <row r="80" spans="1:13">
      <c r="B80" t="s">
        <v>65</v>
      </c>
      <c r="C80" s="8">
        <f>IFERROR('Cash Flow Data'!E12,0)</f>
        <v>-2723</v>
      </c>
      <c r="D80" s="8">
        <f>IFERROR('Cash Flow Data'!F12,0)</f>
        <v>-2760</v>
      </c>
      <c r="E80" s="8">
        <f>IFERROR('Cash Flow Data'!G12,0)</f>
        <v>-1998</v>
      </c>
      <c r="F80" s="8">
        <f>IFERROR('Cash Flow Data'!H12,0)</f>
        <v>-2445</v>
      </c>
      <c r="G80" s="8">
        <f>IFERROR('Cash Flow Data'!I12,0)</f>
        <v>-3307</v>
      </c>
      <c r="H80" s="8">
        <f>IFERROR('Cash Flow Data'!J12,0)</f>
        <v>-2107</v>
      </c>
      <c r="I80" s="8">
        <f>IFERROR('Cash Flow Data'!K12,0)</f>
        <v>-2161</v>
      </c>
      <c r="J80" s="8">
        <f>IFERROR('Cash Flow Data'!L12,0)</f>
        <v>-2579</v>
      </c>
      <c r="K80" s="8">
        <f>IFERROR('Cash Flow Data'!M12,0)</f>
        <v>-2201</v>
      </c>
      <c r="L80" s="8">
        <f>IFERROR('Cash Flow Data'!N12,0)</f>
        <v>-2237</v>
      </c>
    </row>
    <row r="81" spans="2:12">
      <c r="B81" t="s">
        <v>66</v>
      </c>
      <c r="C81" s="8">
        <f>IFERROR('Cash Flow Data'!E13,0)</f>
        <v>0</v>
      </c>
      <c r="D81" s="8">
        <f>IFERROR('Cash Flow Data'!F13,0)</f>
        <v>0</v>
      </c>
      <c r="E81" s="8">
        <f>IFERROR('Cash Flow Data'!G13,0)</f>
        <v>0</v>
      </c>
      <c r="F81" s="8">
        <f>IFERROR('Cash Flow Data'!H13,0)</f>
        <v>0</v>
      </c>
      <c r="G81" s="8">
        <f>IFERROR('Cash Flow Data'!I13,0)</f>
        <v>0</v>
      </c>
      <c r="H81" s="8">
        <f>IFERROR('Cash Flow Data'!J13,0)</f>
        <v>0</v>
      </c>
      <c r="I81" s="8">
        <f>IFERROR('Cash Flow Data'!K13,0)</f>
        <v>0</v>
      </c>
      <c r="J81" s="8">
        <f>IFERROR('Cash Flow Data'!L13,0)</f>
        <v>0</v>
      </c>
      <c r="K81" s="8">
        <f>IFERROR('Cash Flow Data'!M13,0)</f>
        <v>0</v>
      </c>
      <c r="L81" s="8">
        <f>IFERROR('Cash Flow Data'!N13,0)</f>
        <v>0</v>
      </c>
    </row>
    <row r="82" spans="2:12">
      <c r="B82" t="s">
        <v>67</v>
      </c>
      <c r="C82" s="8">
        <f>IFERROR('Cash Flow Data'!E14,0)</f>
        <v>-24577</v>
      </c>
      <c r="D82" s="8">
        <f>IFERROR('Cash Flow Data'!F14,0)</f>
        <v>-66410</v>
      </c>
      <c r="E82" s="8">
        <f>IFERROR('Cash Flow Data'!G14,0)</f>
        <v>-69159</v>
      </c>
      <c r="F82" s="8">
        <f>IFERROR('Cash Flow Data'!H14,0)</f>
        <v>-79410</v>
      </c>
      <c r="G82" s="8">
        <f>IFERROR('Cash Flow Data'!I14,0)</f>
        <v>-37482</v>
      </c>
      <c r="H82" s="8">
        <f>IFERROR('Cash Flow Data'!J14,0)</f>
        <v>-46738</v>
      </c>
      <c r="I82" s="8">
        <f>IFERROR('Cash Flow Data'!K14,0)</f>
        <v>-59951</v>
      </c>
      <c r="J82" s="8">
        <f>IFERROR('Cash Flow Data'!L14,0)</f>
        <v>-75800</v>
      </c>
      <c r="K82" s="8">
        <f>IFERROR('Cash Flow Data'!M14,0)</f>
        <v>-78118</v>
      </c>
      <c r="L82" s="8">
        <f>IFERROR('Cash Flow Data'!N14,0)</f>
        <v>-82753</v>
      </c>
    </row>
    <row r="83" spans="2:12">
      <c r="B83" t="s">
        <v>68</v>
      </c>
      <c r="C83" s="8">
        <f>IFERROR('Cash Flow Data'!E15,0)</f>
        <v>24980</v>
      </c>
      <c r="D83" s="8">
        <f>IFERROR('Cash Flow Data'!F15,0)</f>
        <v>52048</v>
      </c>
      <c r="E83" s="8">
        <f>IFERROR('Cash Flow Data'!G15,0)</f>
        <v>74003</v>
      </c>
      <c r="F83" s="8">
        <f>IFERROR('Cash Flow Data'!H15,0)</f>
        <v>78098</v>
      </c>
      <c r="G83" s="8">
        <f>IFERROR('Cash Flow Data'!I15,0)</f>
        <v>38861</v>
      </c>
      <c r="H83" s="8">
        <f>IFERROR('Cash Flow Data'!J15,0)</f>
        <v>40381</v>
      </c>
      <c r="I83" s="8">
        <f>IFERROR('Cash Flow Data'!K15,0)</f>
        <v>57356</v>
      </c>
      <c r="J83" s="8">
        <f>IFERROR('Cash Flow Data'!L15,0)</f>
        <v>76722</v>
      </c>
      <c r="K83" s="8">
        <f>IFERROR('Cash Flow Data'!M15,0)</f>
        <v>72956</v>
      </c>
      <c r="L83" s="8">
        <f>IFERROR('Cash Flow Data'!N15,0)</f>
        <v>84888</v>
      </c>
    </row>
    <row r="84" spans="2:12">
      <c r="B84" t="s">
        <v>69</v>
      </c>
      <c r="C84" s="8">
        <f>IFERROR('Cash Flow Data'!E16,0)</f>
        <v>2383</v>
      </c>
      <c r="D84" s="8">
        <f>IFERROR('Cash Flow Data'!F16,0)</f>
        <v>0</v>
      </c>
      <c r="E84" s="8">
        <f>IFERROR('Cash Flow Data'!G16,0)</f>
        <v>0</v>
      </c>
      <c r="F84" s="8">
        <f>IFERROR('Cash Flow Data'!H16,0)</f>
        <v>0</v>
      </c>
      <c r="G84" s="8">
        <f>IFERROR('Cash Flow Data'!I16,0)</f>
        <v>0</v>
      </c>
      <c r="H84" s="8">
        <f>IFERROR('Cash Flow Data'!J16,0)</f>
        <v>0</v>
      </c>
      <c r="I84" s="8">
        <f>IFERROR('Cash Flow Data'!K16,0)</f>
        <v>0</v>
      </c>
      <c r="J84" s="8">
        <f>IFERROR('Cash Flow Data'!L16,0)</f>
        <v>0</v>
      </c>
      <c r="K84" s="8">
        <f>IFERROR('Cash Flow Data'!M16,0)</f>
        <v>0</v>
      </c>
      <c r="L84" s="8">
        <f>IFERROR('Cash Flow Data'!N16,0)</f>
        <v>0</v>
      </c>
    </row>
    <row r="85" spans="2:12">
      <c r="B85" t="s">
        <v>70</v>
      </c>
      <c r="C85" s="8">
        <f>IFERROR('Cash Flow Data'!E17,0)</f>
        <v>0</v>
      </c>
      <c r="D85" s="8">
        <f>IFERROR('Cash Flow Data'!F17,0)</f>
        <v>2753</v>
      </c>
      <c r="E85" s="8">
        <f>IFERROR('Cash Flow Data'!G17,0)</f>
        <v>1768</v>
      </c>
      <c r="F85" s="8">
        <f>IFERROR('Cash Flow Data'!H17,0)</f>
        <v>1557</v>
      </c>
      <c r="G85" s="8">
        <f>IFERROR('Cash Flow Data'!I17,0)</f>
        <v>1929</v>
      </c>
      <c r="H85" s="8">
        <f>IFERROR('Cash Flow Data'!J17,0)</f>
        <v>1418</v>
      </c>
      <c r="I85" s="8">
        <f>IFERROR('Cash Flow Data'!K17,0)</f>
        <v>1898</v>
      </c>
      <c r="J85" s="8">
        <f>IFERROR('Cash Flow Data'!L17,0)</f>
        <v>1525</v>
      </c>
      <c r="K85" s="8">
        <f>IFERROR('Cash Flow Data'!M17,0)</f>
        <v>1768</v>
      </c>
      <c r="L85" s="8">
        <f>IFERROR('Cash Flow Data'!N17,0)</f>
        <v>2040</v>
      </c>
    </row>
    <row r="86" spans="2:12">
      <c r="B86" t="s">
        <v>71</v>
      </c>
      <c r="C86" s="8">
        <f>IFERROR('Cash Flow Data'!E18,0)</f>
        <v>-747</v>
      </c>
      <c r="D86" s="8">
        <f>IFERROR('Cash Flow Data'!F18,0)</f>
        <v>0</v>
      </c>
      <c r="E86" s="8">
        <f>IFERROR('Cash Flow Data'!G18,0)</f>
        <v>0</v>
      </c>
      <c r="F86" s="8">
        <f>IFERROR('Cash Flow Data'!H18,0)</f>
        <v>0</v>
      </c>
      <c r="G86" s="8">
        <f>IFERROR('Cash Flow Data'!I18,0)</f>
        <v>0</v>
      </c>
      <c r="H86" s="8">
        <f>IFERROR('Cash Flow Data'!J18,0)</f>
        <v>0</v>
      </c>
      <c r="I86" s="8">
        <f>IFERROR('Cash Flow Data'!K18,0)</f>
        <v>0</v>
      </c>
      <c r="J86" s="8">
        <f>IFERROR('Cash Flow Data'!L18,0)</f>
        <v>0</v>
      </c>
      <c r="K86" s="8">
        <f>IFERROR('Cash Flow Data'!M18,0)</f>
        <v>0</v>
      </c>
      <c r="L86" s="8">
        <f>IFERROR('Cash Flow Data'!N18,0)</f>
        <v>0</v>
      </c>
    </row>
    <row r="87" spans="2:12">
      <c r="B87" t="s">
        <v>123</v>
      </c>
      <c r="C87" s="8">
        <f>IFERROR('Cash Flow Data'!E19,0)</f>
        <v>-142</v>
      </c>
      <c r="D87" s="8">
        <f>IFERROR('Cash Flow Data'!F19,0)</f>
        <v>-164</v>
      </c>
      <c r="E87" s="8">
        <f>IFERROR('Cash Flow Data'!G19,0)</f>
        <v>-130</v>
      </c>
      <c r="F87" s="8">
        <f>IFERROR('Cash Flow Data'!H19,0)</f>
        <v>-24</v>
      </c>
      <c r="G87" s="8">
        <f>IFERROR('Cash Flow Data'!I19,0)</f>
        <v>-108</v>
      </c>
      <c r="H87" s="8">
        <f>IFERROR('Cash Flow Data'!J19,0)</f>
        <v>0</v>
      </c>
      <c r="I87" s="8">
        <f>IFERROR('Cash Flow Data'!K19,0)</f>
        <v>0</v>
      </c>
      <c r="J87" s="8">
        <f>IFERROR('Cash Flow Data'!L19,0)</f>
        <v>0</v>
      </c>
      <c r="K87" s="8">
        <f>IFERROR('Cash Flow Data'!M19,0)</f>
        <v>0</v>
      </c>
      <c r="L87" s="8">
        <f>IFERROR('Cash Flow Data'!N19,0)</f>
        <v>0</v>
      </c>
    </row>
    <row r="88" spans="2:12">
      <c r="B88" t="s">
        <v>72</v>
      </c>
      <c r="C88" s="8">
        <f>IFERROR('Cash Flow Data'!E20,0)</f>
        <v>-59</v>
      </c>
      <c r="D88" s="8">
        <f>IFERROR('Cash Flow Data'!F20,0)</f>
        <v>-131</v>
      </c>
      <c r="E88" s="8">
        <f>IFERROR('Cash Flow Data'!G20,0)</f>
        <v>49</v>
      </c>
      <c r="F88" s="8">
        <f>IFERROR('Cash Flow Data'!H20,0)</f>
        <v>1592</v>
      </c>
      <c r="G88" s="8">
        <f>IFERROR('Cash Flow Data'!I20,0)</f>
        <v>-224</v>
      </c>
      <c r="H88" s="8">
        <f>IFERROR('Cash Flow Data'!J20,0)</f>
        <v>-327</v>
      </c>
      <c r="I88" s="8">
        <f>IFERROR('Cash Flow Data'!K20,0)</f>
        <v>-3627</v>
      </c>
      <c r="J88" s="8">
        <f>IFERROR('Cash Flow Data'!L20,0)</f>
        <v>-939</v>
      </c>
      <c r="K88" s="8">
        <f>IFERROR('Cash Flow Data'!M20,0)</f>
        <v>502</v>
      </c>
      <c r="L88" s="8">
        <f>IFERROR('Cash Flow Data'!N20,0)</f>
        <v>-3802</v>
      </c>
    </row>
    <row r="89" spans="2:12">
      <c r="B89" s="9" t="s">
        <v>116</v>
      </c>
      <c r="C89" s="23">
        <f>IFERROR(SUM(C80:C88),0)</f>
        <v>-885</v>
      </c>
      <c r="D89" s="23">
        <f t="shared" ref="D89:L89" si="23">IFERROR(SUM(D80:D88),0)</f>
        <v>-14664</v>
      </c>
      <c r="E89" s="23">
        <f t="shared" si="23"/>
        <v>4533</v>
      </c>
      <c r="F89" s="23">
        <f t="shared" si="23"/>
        <v>-632</v>
      </c>
      <c r="G89" s="23">
        <f t="shared" si="23"/>
        <v>-331</v>
      </c>
      <c r="H89" s="23">
        <f t="shared" si="23"/>
        <v>-7373</v>
      </c>
      <c r="I89" s="23">
        <f t="shared" si="23"/>
        <v>-6485</v>
      </c>
      <c r="J89" s="23">
        <f t="shared" si="23"/>
        <v>-1071</v>
      </c>
      <c r="K89" s="23">
        <f t="shared" si="23"/>
        <v>-5093</v>
      </c>
      <c r="L89" s="23">
        <f t="shared" si="23"/>
        <v>-1864</v>
      </c>
    </row>
    <row r="91" spans="2:12">
      <c r="B91" s="9" t="s">
        <v>117</v>
      </c>
    </row>
    <row r="92" spans="2:12">
      <c r="B92" t="s">
        <v>73</v>
      </c>
      <c r="C92" s="8">
        <f>IFERROR('Cash Flow Data'!E22,0)</f>
        <v>0</v>
      </c>
      <c r="D92" s="8">
        <f>IFERROR('Cash Flow Data'!F22,0)</f>
        <v>0</v>
      </c>
      <c r="E92" s="8">
        <f>IFERROR('Cash Flow Data'!G22,0)</f>
        <v>5</v>
      </c>
      <c r="F92" s="8">
        <f>IFERROR('Cash Flow Data'!H22,0)</f>
        <v>6</v>
      </c>
      <c r="G92" s="8">
        <f>IFERROR('Cash Flow Data'!I22,0)</f>
        <v>6</v>
      </c>
      <c r="H92" s="8">
        <f>IFERROR('Cash Flow Data'!J22,0)</f>
        <v>15</v>
      </c>
      <c r="I92" s="8">
        <f>IFERROR('Cash Flow Data'!K22,0)</f>
        <v>21</v>
      </c>
      <c r="J92" s="8">
        <f>IFERROR('Cash Flow Data'!L22,0)</f>
        <v>35</v>
      </c>
      <c r="K92" s="8">
        <f>IFERROR('Cash Flow Data'!M22,0)</f>
        <v>5</v>
      </c>
      <c r="L92" s="8">
        <f>IFERROR('Cash Flow Data'!N22,0)</f>
        <v>6</v>
      </c>
    </row>
    <row r="93" spans="2:12">
      <c r="B93" t="s">
        <v>74</v>
      </c>
      <c r="C93" s="8">
        <f>IFERROR('Cash Flow Data'!E23,0)</f>
        <v>0</v>
      </c>
      <c r="D93" s="8">
        <f>IFERROR('Cash Flow Data'!F23,0)</f>
        <v>0</v>
      </c>
      <c r="E93" s="8">
        <f>IFERROR('Cash Flow Data'!G23,0)</f>
        <v>0</v>
      </c>
      <c r="F93" s="8">
        <f>IFERROR('Cash Flow Data'!H23,0)</f>
        <v>0</v>
      </c>
      <c r="G93" s="8">
        <f>IFERROR('Cash Flow Data'!I23,0)</f>
        <v>0</v>
      </c>
      <c r="H93" s="8">
        <f>IFERROR('Cash Flow Data'!J23,0)</f>
        <v>0</v>
      </c>
      <c r="I93" s="8">
        <f>IFERROR('Cash Flow Data'!K23,0)</f>
        <v>0</v>
      </c>
      <c r="J93" s="8">
        <f>IFERROR('Cash Flow Data'!L23,0)</f>
        <v>0</v>
      </c>
      <c r="K93" s="8">
        <f>IFERROR('Cash Flow Data'!M23,0)</f>
        <v>0</v>
      </c>
      <c r="L93" s="8">
        <f>IFERROR('Cash Flow Data'!N23,0)</f>
        <v>-985</v>
      </c>
    </row>
    <row r="94" spans="2:12">
      <c r="B94" t="s">
        <v>75</v>
      </c>
      <c r="C94" s="8">
        <f>IFERROR('Cash Flow Data'!E24,0)</f>
        <v>-6813</v>
      </c>
      <c r="D94" s="8">
        <f>IFERROR('Cash Flow Data'!F24,0)</f>
        <v>-6939</v>
      </c>
      <c r="E94" s="8">
        <f>IFERROR('Cash Flow Data'!G24,0)</f>
        <v>-7464</v>
      </c>
      <c r="F94" s="8">
        <f>IFERROR('Cash Flow Data'!H24,0)</f>
        <v>-13705</v>
      </c>
      <c r="G94" s="8">
        <f>IFERROR('Cash Flow Data'!I24,0)</f>
        <v>-9548</v>
      </c>
      <c r="H94" s="8">
        <f>IFERROR('Cash Flow Data'!J24,0)</f>
        <v>-9137</v>
      </c>
      <c r="I94" s="8">
        <f>IFERROR('Cash Flow Data'!K24,0)</f>
        <v>-12731</v>
      </c>
      <c r="J94" s="8">
        <f>IFERROR('Cash Flow Data'!L24,0)</f>
        <v>-13653</v>
      </c>
      <c r="K94" s="8">
        <f>IFERROR('Cash Flow Data'!M24,0)</f>
        <v>-14731</v>
      </c>
      <c r="L94" s="8">
        <f>IFERROR('Cash Flow Data'!N24,0)</f>
        <v>-20289</v>
      </c>
    </row>
    <row r="95" spans="2:12">
      <c r="B95" t="s">
        <v>76</v>
      </c>
      <c r="C95" s="8">
        <f>IFERROR('Cash Flow Data'!E25,0)</f>
        <v>0</v>
      </c>
      <c r="D95" s="8">
        <f>IFERROR('Cash Flow Data'!F25,0)</f>
        <v>0</v>
      </c>
      <c r="E95" s="8">
        <f>IFERROR('Cash Flow Data'!G25,0)</f>
        <v>0</v>
      </c>
      <c r="F95" s="8">
        <f>IFERROR('Cash Flow Data'!H25,0)</f>
        <v>0</v>
      </c>
      <c r="G95" s="8">
        <f>IFERROR('Cash Flow Data'!I25,0)</f>
        <v>-571</v>
      </c>
      <c r="H95" s="8">
        <f>IFERROR('Cash Flow Data'!J25,0)</f>
        <v>-698</v>
      </c>
      <c r="I95" s="8">
        <f>IFERROR('Cash Flow Data'!K25,0)</f>
        <v>-915</v>
      </c>
      <c r="J95" s="8">
        <f>IFERROR('Cash Flow Data'!L25,0)</f>
        <v>-1231</v>
      </c>
      <c r="K95" s="8">
        <f>IFERROR('Cash Flow Data'!M25,0)</f>
        <v>-2024</v>
      </c>
      <c r="L95" s="8">
        <f>IFERROR('Cash Flow Data'!N25,0)</f>
        <v>-2355</v>
      </c>
    </row>
    <row r="96" spans="2:12">
      <c r="B96" t="s">
        <v>77</v>
      </c>
      <c r="C96" s="8">
        <f>IFERROR('Cash Flow Data'!E26,0)</f>
        <v>0</v>
      </c>
      <c r="D96" s="8">
        <f>IFERROR('Cash Flow Data'!F26,0)</f>
        <v>0</v>
      </c>
      <c r="E96" s="8">
        <f>IFERROR('Cash Flow Data'!G26,0)</f>
        <v>-13046</v>
      </c>
      <c r="F96" s="8">
        <f>IFERROR('Cash Flow Data'!H26,0)</f>
        <v>-813</v>
      </c>
      <c r="G96" s="8">
        <f>IFERROR('Cash Flow Data'!I26,0)</f>
        <v>-7478</v>
      </c>
      <c r="H96" s="8">
        <f>IFERROR('Cash Flow Data'!J26,0)</f>
        <v>34</v>
      </c>
      <c r="I96" s="8">
        <f>IFERROR('Cash Flow Data'!K26,0)</f>
        <v>-11017</v>
      </c>
      <c r="J96" s="8">
        <f>IFERROR('Cash Flow Data'!L26,0)</f>
        <v>-11846</v>
      </c>
      <c r="K96" s="8">
        <f>IFERROR('Cash Flow Data'!M26,0)</f>
        <v>-754</v>
      </c>
      <c r="L96" s="8">
        <f>IFERROR('Cash Flow Data'!N26,0)</f>
        <v>-538</v>
      </c>
    </row>
    <row r="97" spans="2:12">
      <c r="B97" s="9" t="s">
        <v>118</v>
      </c>
      <c r="C97" s="23">
        <f>IFERROR(SUM(C92:C96),0)</f>
        <v>-6813</v>
      </c>
      <c r="D97" s="23">
        <f t="shared" ref="D97:L97" si="24">IFERROR(SUM(D92:D96),0)</f>
        <v>-6939</v>
      </c>
      <c r="E97" s="23">
        <f t="shared" si="24"/>
        <v>-20505</v>
      </c>
      <c r="F97" s="23">
        <f t="shared" si="24"/>
        <v>-14512</v>
      </c>
      <c r="G97" s="23">
        <f t="shared" si="24"/>
        <v>-17591</v>
      </c>
      <c r="H97" s="23">
        <f t="shared" si="24"/>
        <v>-9786</v>
      </c>
      <c r="I97" s="23">
        <f t="shared" si="24"/>
        <v>-24642</v>
      </c>
      <c r="J97" s="23">
        <f t="shared" si="24"/>
        <v>-26695</v>
      </c>
      <c r="K97" s="23">
        <f t="shared" si="24"/>
        <v>-17504</v>
      </c>
      <c r="L97" s="23">
        <f t="shared" si="24"/>
        <v>-24161</v>
      </c>
    </row>
    <row r="99" spans="2:12">
      <c r="B99" s="9" t="s">
        <v>20</v>
      </c>
      <c r="C99" s="23">
        <f t="shared" ref="C99:L99" si="25">IFERROR(SUM(C77+C89+C97),0)</f>
        <v>2330</v>
      </c>
      <c r="D99" s="23">
        <f t="shared" si="25"/>
        <v>-10072</v>
      </c>
      <c r="E99" s="23">
        <f t="shared" si="25"/>
        <v>-2754</v>
      </c>
      <c r="F99" s="23">
        <f t="shared" si="25"/>
        <v>-303</v>
      </c>
      <c r="G99" s="23">
        <f t="shared" si="25"/>
        <v>-919</v>
      </c>
      <c r="H99" s="23">
        <f t="shared" si="25"/>
        <v>6065</v>
      </c>
      <c r="I99" s="23">
        <f t="shared" si="25"/>
        <v>-7242</v>
      </c>
      <c r="J99" s="23">
        <f t="shared" si="25"/>
        <v>-5299</v>
      </c>
      <c r="K99" s="23">
        <f t="shared" si="25"/>
        <v>2613</v>
      </c>
      <c r="L99" s="23">
        <f t="shared" si="25"/>
        <v>9669</v>
      </c>
    </row>
  </sheetData>
  <mergeCells count="1">
    <mergeCell ref="B2:M2"/>
  </mergeCells>
  <pageMargins left="0.7" right="0.7" top="0.75" bottom="0.75" header="0.3" footer="0.3"/>
  <ignoredErrors>
    <ignoredError sqref="M9 C15:M15 M21 M24 M30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92EF-34D4-4790-9014-888C77658AC8}">
  <dimension ref="B2:O65"/>
  <sheetViews>
    <sheetView showGridLines="0" workbookViewId="0">
      <pane ySplit="2" topLeftCell="A3" activePane="bottomLeft" state="frozen"/>
      <selection pane="bottomLeft" activeCell="B10" sqref="B10"/>
    </sheetView>
  </sheetViews>
  <sheetFormatPr defaultRowHeight="14.4"/>
  <cols>
    <col min="1" max="1" width="1.88671875" customWidth="1"/>
    <col min="2" max="2" width="28" customWidth="1"/>
    <col min="3" max="9" width="8" bestFit="1" customWidth="1"/>
    <col min="10" max="14" width="9.44140625" bestFit="1" customWidth="1"/>
  </cols>
  <sheetData>
    <row r="2" spans="2:15">
      <c r="B2" s="77"/>
      <c r="C2" s="78">
        <v>41699</v>
      </c>
      <c r="D2" s="78">
        <v>42064</v>
      </c>
      <c r="E2" s="78">
        <v>42430</v>
      </c>
      <c r="F2" s="78">
        <v>42795</v>
      </c>
      <c r="G2" s="78">
        <v>43160</v>
      </c>
      <c r="H2" s="78">
        <v>43525</v>
      </c>
      <c r="I2" s="78">
        <v>43891</v>
      </c>
      <c r="J2" s="78">
        <v>44256</v>
      </c>
      <c r="K2" s="78">
        <v>44621</v>
      </c>
      <c r="L2" s="78">
        <v>44986</v>
      </c>
      <c r="M2" s="78">
        <v>45352</v>
      </c>
      <c r="N2" s="78">
        <v>45717</v>
      </c>
      <c r="O2" s="19"/>
    </row>
    <row r="3" spans="2:15">
      <c r="O3" s="79"/>
    </row>
    <row r="4" spans="2:15">
      <c r="B4" s="9" t="s">
        <v>222</v>
      </c>
      <c r="C4" s="85">
        <v>286</v>
      </c>
      <c r="D4" s="85">
        <v>572</v>
      </c>
      <c r="E4" s="85">
        <v>1144</v>
      </c>
      <c r="F4" s="85">
        <v>1144</v>
      </c>
      <c r="G4" s="85">
        <v>1088</v>
      </c>
      <c r="H4" s="85">
        <v>2170</v>
      </c>
      <c r="I4" s="85">
        <v>2122</v>
      </c>
      <c r="J4" s="85">
        <v>2124</v>
      </c>
      <c r="K4" s="85">
        <v>2098</v>
      </c>
      <c r="L4" s="85">
        <v>2069</v>
      </c>
      <c r="M4" s="85">
        <v>2071</v>
      </c>
      <c r="N4" s="85">
        <v>2073</v>
      </c>
      <c r="O4" s="80"/>
    </row>
    <row r="5" spans="2:15">
      <c r="B5" s="9" t="s">
        <v>11</v>
      </c>
      <c r="C5" s="85">
        <v>44244</v>
      </c>
      <c r="D5" s="85">
        <v>50164</v>
      </c>
      <c r="E5" s="85">
        <v>60600</v>
      </c>
      <c r="F5" s="85">
        <v>67838</v>
      </c>
      <c r="G5" s="85">
        <v>63835</v>
      </c>
      <c r="H5" s="85">
        <v>62778</v>
      </c>
      <c r="I5" s="85">
        <v>63328</v>
      </c>
      <c r="J5" s="85">
        <v>74227</v>
      </c>
      <c r="K5" s="85">
        <v>73252</v>
      </c>
      <c r="L5" s="85">
        <v>73338</v>
      </c>
      <c r="M5" s="85">
        <v>86045</v>
      </c>
      <c r="N5" s="85">
        <v>93745</v>
      </c>
      <c r="O5" s="80"/>
    </row>
    <row r="6" spans="2:15">
      <c r="B6" s="9" t="s">
        <v>223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0"/>
    </row>
    <row r="7" spans="2:15">
      <c r="B7" t="s">
        <v>224</v>
      </c>
      <c r="C7" s="85">
        <v>0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4633</v>
      </c>
      <c r="J7" s="85">
        <v>5325</v>
      </c>
      <c r="K7" s="85">
        <v>5474</v>
      </c>
      <c r="L7" s="85">
        <v>8299</v>
      </c>
      <c r="M7" s="85">
        <v>8359</v>
      </c>
      <c r="N7" s="85">
        <v>8227</v>
      </c>
      <c r="O7" s="80"/>
    </row>
    <row r="8" spans="2:15">
      <c r="B8" s="9" t="s">
        <v>225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0"/>
    </row>
    <row r="9" spans="2:15">
      <c r="B9" t="s">
        <v>226</v>
      </c>
      <c r="C9" s="85">
        <v>0</v>
      </c>
      <c r="D9" s="85">
        <v>0</v>
      </c>
      <c r="E9" s="85">
        <v>0</v>
      </c>
      <c r="F9" s="85">
        <v>0</v>
      </c>
      <c r="G9" s="85">
        <v>1</v>
      </c>
      <c r="H9" s="85">
        <v>58</v>
      </c>
      <c r="I9" s="85">
        <v>394</v>
      </c>
      <c r="J9" s="85">
        <v>431</v>
      </c>
      <c r="K9" s="85">
        <v>386</v>
      </c>
      <c r="L9" s="85">
        <v>388</v>
      </c>
      <c r="M9" s="85">
        <v>345</v>
      </c>
      <c r="N9" s="85">
        <v>385</v>
      </c>
      <c r="O9" s="79"/>
    </row>
    <row r="10" spans="2:15">
      <c r="B10" t="s">
        <v>227</v>
      </c>
      <c r="C10" s="85">
        <v>173</v>
      </c>
      <c r="D10" s="85">
        <v>140</v>
      </c>
      <c r="E10" s="85">
        <v>386</v>
      </c>
      <c r="F10" s="85">
        <v>367</v>
      </c>
      <c r="G10" s="85">
        <v>694</v>
      </c>
      <c r="H10" s="85">
        <v>1655</v>
      </c>
      <c r="I10" s="85">
        <v>2852</v>
      </c>
      <c r="J10" s="85">
        <v>2645</v>
      </c>
      <c r="K10" s="85">
        <v>4134</v>
      </c>
      <c r="L10" s="85">
        <v>3865</v>
      </c>
      <c r="M10" s="85">
        <v>3956</v>
      </c>
      <c r="N10" s="85">
        <v>4164</v>
      </c>
      <c r="O10" s="80"/>
    </row>
    <row r="11" spans="2:15">
      <c r="B11" t="s">
        <v>228</v>
      </c>
      <c r="C11" s="85">
        <v>40</v>
      </c>
      <c r="D11" s="85">
        <v>27</v>
      </c>
      <c r="E11" s="85">
        <v>28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79"/>
    </row>
    <row r="12" spans="2:15">
      <c r="B12" t="s">
        <v>229</v>
      </c>
      <c r="C12" s="85">
        <v>12223</v>
      </c>
      <c r="D12" s="85">
        <v>15386</v>
      </c>
      <c r="E12" s="85">
        <v>12940</v>
      </c>
      <c r="F12" s="85">
        <v>13799</v>
      </c>
      <c r="G12" s="85">
        <v>13731</v>
      </c>
      <c r="H12" s="85">
        <v>17405</v>
      </c>
      <c r="I12" s="85">
        <v>18471</v>
      </c>
      <c r="J12" s="85">
        <v>22759</v>
      </c>
      <c r="K12" s="85">
        <v>31385</v>
      </c>
      <c r="L12" s="85">
        <v>36637</v>
      </c>
      <c r="M12" s="85">
        <v>36584</v>
      </c>
      <c r="N12" s="85">
        <v>39201</v>
      </c>
      <c r="O12" s="80"/>
    </row>
    <row r="13" spans="2:15">
      <c r="B13" s="83" t="s">
        <v>230</v>
      </c>
      <c r="C13" s="86">
        <v>56966</v>
      </c>
      <c r="D13" s="86">
        <v>66289</v>
      </c>
      <c r="E13" s="86">
        <v>75098</v>
      </c>
      <c r="F13" s="86">
        <v>83148</v>
      </c>
      <c r="G13" s="86">
        <v>79349</v>
      </c>
      <c r="H13" s="86">
        <v>84066</v>
      </c>
      <c r="I13" s="86">
        <v>91800</v>
      </c>
      <c r="J13" s="86">
        <v>107511</v>
      </c>
      <c r="K13" s="86">
        <v>116729</v>
      </c>
      <c r="L13" s="86">
        <v>124596</v>
      </c>
      <c r="M13" s="86">
        <v>137360</v>
      </c>
      <c r="N13" s="86">
        <v>147795</v>
      </c>
      <c r="O13" s="81"/>
    </row>
    <row r="14" spans="2:15"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80"/>
    </row>
    <row r="15" spans="2:15">
      <c r="B15" s="9" t="s">
        <v>231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80"/>
    </row>
    <row r="16" spans="2:15">
      <c r="B16" t="s">
        <v>232</v>
      </c>
      <c r="C16" s="85">
        <v>1142</v>
      </c>
      <c r="D16" s="85">
        <v>1564</v>
      </c>
      <c r="E16" s="85">
        <v>1622</v>
      </c>
      <c r="F16" s="85">
        <v>1095</v>
      </c>
      <c r="G16" s="85">
        <v>1229</v>
      </c>
      <c r="H16" s="85">
        <v>1307</v>
      </c>
      <c r="I16" s="85">
        <v>1950</v>
      </c>
      <c r="J16" s="85">
        <v>2036</v>
      </c>
      <c r="K16" s="85">
        <v>2065</v>
      </c>
      <c r="L16" s="85">
        <v>2054</v>
      </c>
      <c r="M16" s="85">
        <v>2037</v>
      </c>
      <c r="N16" s="85">
        <v>2079</v>
      </c>
      <c r="O16" s="79"/>
    </row>
    <row r="17" spans="2:15">
      <c r="B17" t="s">
        <v>233</v>
      </c>
      <c r="C17" s="85">
        <v>5238</v>
      </c>
      <c r="D17" s="85">
        <v>6102</v>
      </c>
      <c r="E17" s="85">
        <v>6325</v>
      </c>
      <c r="F17" s="85">
        <v>8419</v>
      </c>
      <c r="G17" s="85">
        <v>9334</v>
      </c>
      <c r="H17" s="85">
        <v>10270</v>
      </c>
      <c r="I17" s="85">
        <v>15104</v>
      </c>
      <c r="J17" s="85">
        <v>16328</v>
      </c>
      <c r="K17" s="85">
        <v>16761</v>
      </c>
      <c r="L17" s="85">
        <v>16903</v>
      </c>
      <c r="M17" s="85">
        <v>16515</v>
      </c>
      <c r="N17" s="85">
        <v>16376</v>
      </c>
      <c r="O17" s="79"/>
    </row>
    <row r="18" spans="2:15">
      <c r="B18" t="s">
        <v>234</v>
      </c>
      <c r="C18" s="85">
        <v>1150</v>
      </c>
      <c r="D18" s="85">
        <v>1427</v>
      </c>
      <c r="E18" s="85">
        <v>1759</v>
      </c>
      <c r="F18" s="85">
        <v>2048</v>
      </c>
      <c r="G18" s="85">
        <v>2306</v>
      </c>
      <c r="H18" s="85">
        <v>2709</v>
      </c>
      <c r="I18" s="85">
        <v>3185</v>
      </c>
      <c r="J18" s="85">
        <v>3296</v>
      </c>
      <c r="K18" s="85">
        <v>3210</v>
      </c>
      <c r="L18" s="85">
        <v>3302</v>
      </c>
      <c r="M18" s="85">
        <v>3428</v>
      </c>
      <c r="N18" s="85">
        <v>3461</v>
      </c>
      <c r="O18" s="79"/>
    </row>
    <row r="19" spans="2:15">
      <c r="B19" t="s">
        <v>235</v>
      </c>
      <c r="C19" s="85">
        <v>551</v>
      </c>
      <c r="D19" s="85">
        <v>676</v>
      </c>
      <c r="E19" s="85">
        <v>839</v>
      </c>
      <c r="F19" s="85">
        <v>922</v>
      </c>
      <c r="G19" s="85">
        <v>1002</v>
      </c>
      <c r="H19" s="85">
        <v>1101</v>
      </c>
      <c r="I19" s="85">
        <v>1265</v>
      </c>
      <c r="J19" s="85">
        <v>1371</v>
      </c>
      <c r="K19" s="85">
        <v>1427</v>
      </c>
      <c r="L19" s="85">
        <v>1482</v>
      </c>
      <c r="M19" s="85">
        <v>1528</v>
      </c>
      <c r="N19" s="85">
        <v>1628</v>
      </c>
      <c r="O19" s="79"/>
    </row>
    <row r="20" spans="2:15">
      <c r="B20" t="s">
        <v>236</v>
      </c>
      <c r="C20" s="85">
        <v>2659</v>
      </c>
      <c r="D20" s="85">
        <v>3347</v>
      </c>
      <c r="E20" s="85">
        <v>4486</v>
      </c>
      <c r="F20" s="85">
        <v>4945</v>
      </c>
      <c r="G20" s="85">
        <v>4903</v>
      </c>
      <c r="H20" s="85">
        <v>6287</v>
      </c>
      <c r="I20" s="85">
        <v>7423</v>
      </c>
      <c r="J20" s="85">
        <v>8650</v>
      </c>
      <c r="K20" s="85">
        <v>9936</v>
      </c>
      <c r="L20" s="85">
        <v>11898</v>
      </c>
      <c r="M20" s="85">
        <v>12353</v>
      </c>
      <c r="N20" s="85">
        <v>12925</v>
      </c>
      <c r="O20" s="79"/>
    </row>
    <row r="21" spans="2:15">
      <c r="B21" t="s">
        <v>237</v>
      </c>
      <c r="C21" s="85">
        <v>805</v>
      </c>
      <c r="D21" s="85">
        <v>958</v>
      </c>
      <c r="E21" s="85">
        <v>1444</v>
      </c>
      <c r="F21" s="85">
        <v>1277</v>
      </c>
      <c r="G21" s="85">
        <v>1393</v>
      </c>
      <c r="H21" s="85">
        <v>1620</v>
      </c>
      <c r="I21" s="85">
        <v>2073</v>
      </c>
      <c r="J21" s="85">
        <v>2149</v>
      </c>
      <c r="K21" s="85">
        <v>2279</v>
      </c>
      <c r="L21" s="85">
        <v>2303</v>
      </c>
      <c r="M21" s="85">
        <v>2326</v>
      </c>
      <c r="N21" s="85">
        <v>2340</v>
      </c>
      <c r="O21" s="79"/>
    </row>
    <row r="22" spans="2:15">
      <c r="B22" t="s">
        <v>238</v>
      </c>
      <c r="C22" s="85">
        <v>35</v>
      </c>
      <c r="D22" s="85">
        <v>34</v>
      </c>
      <c r="E22" s="85">
        <v>29</v>
      </c>
      <c r="F22" s="85">
        <v>31</v>
      </c>
      <c r="G22" s="85">
        <v>31</v>
      </c>
      <c r="H22" s="85">
        <v>38</v>
      </c>
      <c r="I22" s="85">
        <v>69</v>
      </c>
      <c r="J22" s="85">
        <v>74</v>
      </c>
      <c r="K22" s="85">
        <v>71</v>
      </c>
      <c r="L22" s="85">
        <v>60</v>
      </c>
      <c r="M22" s="85">
        <v>62</v>
      </c>
      <c r="N22" s="85">
        <v>72</v>
      </c>
      <c r="O22" s="79"/>
    </row>
    <row r="23" spans="2:15">
      <c r="B23" t="s">
        <v>239</v>
      </c>
      <c r="C23" s="85">
        <v>2244</v>
      </c>
      <c r="D23" s="85">
        <v>3637</v>
      </c>
      <c r="E23" s="85">
        <v>3858</v>
      </c>
      <c r="F23" s="85">
        <v>3743</v>
      </c>
      <c r="G23" s="85">
        <v>2237</v>
      </c>
      <c r="H23" s="85">
        <v>3640</v>
      </c>
      <c r="I23" s="85">
        <v>5527</v>
      </c>
      <c r="J23" s="85">
        <v>6372</v>
      </c>
      <c r="K23" s="85">
        <v>6495</v>
      </c>
      <c r="L23" s="85">
        <v>7594</v>
      </c>
      <c r="M23" s="85">
        <v>7653</v>
      </c>
      <c r="N23" s="85">
        <v>10626</v>
      </c>
      <c r="O23" s="80"/>
    </row>
    <row r="24" spans="2:15">
      <c r="B24" t="s">
        <v>240</v>
      </c>
      <c r="C24" s="85">
        <v>126</v>
      </c>
      <c r="D24" s="85">
        <v>71</v>
      </c>
      <c r="E24" s="85">
        <v>931</v>
      </c>
      <c r="F24" s="85">
        <v>899</v>
      </c>
      <c r="G24" s="85">
        <v>545</v>
      </c>
      <c r="H24" s="85">
        <v>1093</v>
      </c>
      <c r="I24" s="85">
        <v>2289</v>
      </c>
      <c r="J24" s="85">
        <v>2730</v>
      </c>
      <c r="K24" s="85">
        <v>2766</v>
      </c>
      <c r="L24" s="85">
        <v>3281</v>
      </c>
      <c r="M24" s="85">
        <v>3294</v>
      </c>
      <c r="N24" s="85">
        <v>5184</v>
      </c>
      <c r="O24" s="79"/>
    </row>
    <row r="25" spans="2:15">
      <c r="B25" s="9" t="s">
        <v>241</v>
      </c>
      <c r="C25" s="89">
        <v>13950</v>
      </c>
      <c r="D25" s="89">
        <v>17816</v>
      </c>
      <c r="E25" s="89">
        <v>21293</v>
      </c>
      <c r="F25" s="89">
        <v>23379</v>
      </c>
      <c r="G25" s="89">
        <v>22980</v>
      </c>
      <c r="H25" s="89">
        <v>28065</v>
      </c>
      <c r="I25" s="89">
        <v>38885</v>
      </c>
      <c r="J25" s="89">
        <v>43006</v>
      </c>
      <c r="K25" s="89">
        <v>45010</v>
      </c>
      <c r="L25" s="89">
        <v>48877</v>
      </c>
      <c r="M25" s="89">
        <v>49196</v>
      </c>
      <c r="N25" s="89">
        <v>54691</v>
      </c>
      <c r="O25" s="79"/>
    </row>
    <row r="26" spans="2:15">
      <c r="B26" s="9" t="s">
        <v>242</v>
      </c>
      <c r="C26" s="88">
        <v>5572</v>
      </c>
      <c r="D26" s="88">
        <v>6470</v>
      </c>
      <c r="E26" s="88">
        <v>7907</v>
      </c>
      <c r="F26" s="88">
        <v>9200</v>
      </c>
      <c r="G26" s="88">
        <v>10406</v>
      </c>
      <c r="H26" s="88">
        <v>12355</v>
      </c>
      <c r="I26" s="88">
        <v>15096</v>
      </c>
      <c r="J26" s="88">
        <v>17501</v>
      </c>
      <c r="K26" s="88">
        <v>19210</v>
      </c>
      <c r="L26" s="88">
        <v>19652</v>
      </c>
      <c r="M26" s="88">
        <v>21574</v>
      </c>
      <c r="N26" s="88">
        <v>23730</v>
      </c>
      <c r="O26" s="79"/>
    </row>
    <row r="27" spans="2:15">
      <c r="B27" s="84" t="s">
        <v>13</v>
      </c>
      <c r="C27" s="87">
        <f>C25-C26</f>
        <v>8378</v>
      </c>
      <c r="D27" s="87">
        <f t="shared" ref="D27:N27" si="0">D25-D26</f>
        <v>11346</v>
      </c>
      <c r="E27" s="87">
        <f t="shared" si="0"/>
        <v>13386</v>
      </c>
      <c r="F27" s="87">
        <f t="shared" si="0"/>
        <v>14179</v>
      </c>
      <c r="G27" s="87">
        <f t="shared" si="0"/>
        <v>12574</v>
      </c>
      <c r="H27" s="87">
        <f t="shared" si="0"/>
        <v>15710</v>
      </c>
      <c r="I27" s="87">
        <f t="shared" si="0"/>
        <v>23789</v>
      </c>
      <c r="J27" s="87">
        <f t="shared" si="0"/>
        <v>25505</v>
      </c>
      <c r="K27" s="87">
        <f t="shared" si="0"/>
        <v>25800</v>
      </c>
      <c r="L27" s="87">
        <f t="shared" si="0"/>
        <v>29225</v>
      </c>
      <c r="M27" s="87">
        <f t="shared" si="0"/>
        <v>27622</v>
      </c>
      <c r="N27" s="87">
        <f t="shared" si="0"/>
        <v>30961</v>
      </c>
      <c r="O27" s="79"/>
    </row>
    <row r="28" spans="2:15">
      <c r="B28" s="9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79"/>
    </row>
    <row r="29" spans="2:15">
      <c r="B29" s="9" t="s">
        <v>243</v>
      </c>
      <c r="C29" s="85">
        <v>961</v>
      </c>
      <c r="D29" s="85">
        <v>776</v>
      </c>
      <c r="E29" s="85">
        <v>960</v>
      </c>
      <c r="F29" s="85">
        <v>1365</v>
      </c>
      <c r="G29" s="85">
        <v>1606</v>
      </c>
      <c r="H29" s="85">
        <v>1388</v>
      </c>
      <c r="I29" s="85">
        <v>954</v>
      </c>
      <c r="J29" s="85">
        <v>922</v>
      </c>
      <c r="K29" s="85">
        <v>416</v>
      </c>
      <c r="L29" s="85">
        <v>288</v>
      </c>
      <c r="M29" s="85">
        <v>293</v>
      </c>
      <c r="N29" s="85">
        <v>814</v>
      </c>
      <c r="O29" s="80"/>
    </row>
    <row r="30" spans="2:15">
      <c r="B30" s="9" t="s">
        <v>15</v>
      </c>
      <c r="C30" s="85">
        <v>4331</v>
      </c>
      <c r="D30" s="85">
        <v>2270</v>
      </c>
      <c r="E30" s="85">
        <v>1892</v>
      </c>
      <c r="F30" s="85">
        <v>16423</v>
      </c>
      <c r="G30" s="85">
        <v>12163</v>
      </c>
      <c r="H30" s="85">
        <v>11261</v>
      </c>
      <c r="I30" s="85">
        <v>8792</v>
      </c>
      <c r="J30" s="85">
        <v>14205</v>
      </c>
      <c r="K30" s="85">
        <v>20324</v>
      </c>
      <c r="L30" s="85">
        <v>19478</v>
      </c>
      <c r="M30" s="85">
        <v>24623</v>
      </c>
      <c r="N30" s="85">
        <v>23541</v>
      </c>
      <c r="O30" s="80"/>
    </row>
    <row r="31" spans="2:15">
      <c r="B31" s="9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80"/>
    </row>
    <row r="32" spans="2:15">
      <c r="B32" s="9" t="s">
        <v>244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80"/>
    </row>
    <row r="33" spans="2:15">
      <c r="B33" t="s">
        <v>245</v>
      </c>
      <c r="C33" s="85">
        <v>8351</v>
      </c>
      <c r="D33" s="85">
        <v>9713</v>
      </c>
      <c r="E33" s="85">
        <v>11330</v>
      </c>
      <c r="F33" s="85">
        <v>12322</v>
      </c>
      <c r="G33" s="85">
        <v>13142</v>
      </c>
      <c r="H33" s="85">
        <v>14827</v>
      </c>
      <c r="I33" s="85">
        <v>18487</v>
      </c>
      <c r="J33" s="85">
        <v>19294</v>
      </c>
      <c r="K33" s="85">
        <v>22698</v>
      </c>
      <c r="L33" s="85">
        <v>25424</v>
      </c>
      <c r="M33" s="85">
        <v>30193</v>
      </c>
      <c r="N33" s="85">
        <v>31158</v>
      </c>
      <c r="O33" s="80"/>
    </row>
    <row r="34" spans="2:15">
      <c r="B34" t="s">
        <v>246</v>
      </c>
      <c r="C34" s="85">
        <v>25950</v>
      </c>
      <c r="D34" s="85">
        <v>30367</v>
      </c>
      <c r="E34" s="85">
        <v>32697</v>
      </c>
      <c r="F34" s="85">
        <v>22625</v>
      </c>
      <c r="G34" s="85">
        <v>19818</v>
      </c>
      <c r="H34" s="85">
        <v>19568</v>
      </c>
      <c r="I34" s="85">
        <v>18649</v>
      </c>
      <c r="J34" s="85">
        <v>24714</v>
      </c>
      <c r="K34" s="85">
        <v>17472</v>
      </c>
      <c r="L34" s="85">
        <v>12173</v>
      </c>
      <c r="M34" s="85">
        <v>14786</v>
      </c>
      <c r="N34" s="85">
        <v>24455</v>
      </c>
      <c r="O34" s="80"/>
    </row>
    <row r="35" spans="2:15">
      <c r="B35" t="s">
        <v>247</v>
      </c>
      <c r="C35" s="85">
        <v>1484</v>
      </c>
      <c r="D35" s="85">
        <v>399</v>
      </c>
      <c r="E35" s="85">
        <v>614</v>
      </c>
      <c r="F35" s="85">
        <v>844</v>
      </c>
      <c r="G35" s="85">
        <v>830</v>
      </c>
      <c r="H35" s="85">
        <v>1524</v>
      </c>
      <c r="I35" s="85">
        <v>1359</v>
      </c>
      <c r="J35" s="85">
        <v>1460</v>
      </c>
      <c r="K35" s="85">
        <v>2491</v>
      </c>
      <c r="L35" s="85">
        <v>3242</v>
      </c>
      <c r="M35" s="85">
        <v>10330</v>
      </c>
      <c r="N35" s="85">
        <v>6717</v>
      </c>
      <c r="O35" s="80"/>
    </row>
    <row r="36" spans="2:15">
      <c r="B36" t="s">
        <v>248</v>
      </c>
      <c r="C36" s="85">
        <v>7511</v>
      </c>
      <c r="D36" s="85">
        <v>11418</v>
      </c>
      <c r="E36" s="85">
        <v>14219</v>
      </c>
      <c r="F36" s="85">
        <v>15390</v>
      </c>
      <c r="G36" s="85">
        <v>19216</v>
      </c>
      <c r="H36" s="85">
        <v>19788</v>
      </c>
      <c r="I36" s="85">
        <v>19770</v>
      </c>
      <c r="J36" s="85">
        <v>21411</v>
      </c>
      <c r="K36" s="85">
        <v>27528</v>
      </c>
      <c r="L36" s="85">
        <v>34766</v>
      </c>
      <c r="M36" s="85">
        <v>29513</v>
      </c>
      <c r="N36" s="85">
        <v>30149</v>
      </c>
      <c r="O36" s="80"/>
    </row>
    <row r="37" spans="2:15">
      <c r="B37" s="83" t="s">
        <v>249</v>
      </c>
      <c r="C37" s="86">
        <v>56966</v>
      </c>
      <c r="D37" s="86">
        <v>66289</v>
      </c>
      <c r="E37" s="86">
        <v>75098</v>
      </c>
      <c r="F37" s="86">
        <v>83148</v>
      </c>
      <c r="G37" s="86">
        <v>79349</v>
      </c>
      <c r="H37" s="86">
        <v>84066</v>
      </c>
      <c r="I37" s="86">
        <v>91800</v>
      </c>
      <c r="J37" s="86">
        <v>107511</v>
      </c>
      <c r="K37" s="86">
        <v>116729</v>
      </c>
      <c r="L37" s="86">
        <v>124596</v>
      </c>
      <c r="M37" s="86">
        <v>137360</v>
      </c>
      <c r="N37" s="86">
        <v>147795</v>
      </c>
      <c r="O37" s="80"/>
    </row>
    <row r="40" spans="2:15">
      <c r="C40" s="11">
        <v>41699</v>
      </c>
      <c r="D40" s="11">
        <v>42064</v>
      </c>
      <c r="E40" s="11">
        <v>42430</v>
      </c>
      <c r="F40" s="11">
        <v>42795</v>
      </c>
      <c r="G40" s="11">
        <v>43160</v>
      </c>
      <c r="H40" s="11">
        <v>43525</v>
      </c>
      <c r="I40" s="11">
        <v>43891</v>
      </c>
      <c r="J40" s="11">
        <v>44256</v>
      </c>
      <c r="K40" s="11">
        <v>44621</v>
      </c>
      <c r="L40" s="11">
        <v>44986</v>
      </c>
      <c r="M40" s="11">
        <v>45352</v>
      </c>
      <c r="N40" s="11">
        <v>45717</v>
      </c>
    </row>
    <row r="41" spans="2:15">
      <c r="B41" s="9" t="s">
        <v>108</v>
      </c>
      <c r="C41" s="30">
        <f>C42+C47+C48</f>
        <v>9825</v>
      </c>
      <c r="D41" s="30">
        <f t="shared" ref="D41:N41" si="1">D42+D47+D48</f>
        <v>8353</v>
      </c>
      <c r="E41" s="30">
        <f t="shared" si="1"/>
        <v>10028</v>
      </c>
      <c r="F41" s="30">
        <f t="shared" si="1"/>
        <v>11531</v>
      </c>
      <c r="G41" s="30">
        <f t="shared" si="1"/>
        <v>13218</v>
      </c>
      <c r="H41" s="30">
        <f t="shared" si="1"/>
        <v>14841</v>
      </c>
      <c r="I41" s="30">
        <f t="shared" si="1"/>
        <v>17003</v>
      </c>
      <c r="J41" s="30">
        <f t="shared" si="1"/>
        <v>23224</v>
      </c>
      <c r="K41" s="30">
        <f t="shared" si="1"/>
        <v>23885</v>
      </c>
      <c r="L41" s="30">
        <f t="shared" si="1"/>
        <v>22467</v>
      </c>
      <c r="M41" s="30">
        <f t="shared" si="1"/>
        <v>25210</v>
      </c>
      <c r="N41" s="30">
        <f t="shared" si="1"/>
        <v>35694</v>
      </c>
    </row>
    <row r="42" spans="2:15">
      <c r="B42" t="s">
        <v>60</v>
      </c>
      <c r="C42" s="25">
        <v>14172</v>
      </c>
      <c r="D42" s="25">
        <v>15946</v>
      </c>
      <c r="E42" s="25">
        <v>17839</v>
      </c>
      <c r="F42" s="25">
        <v>19340</v>
      </c>
      <c r="G42" s="25">
        <v>19963</v>
      </c>
      <c r="H42" s="25">
        <v>22126</v>
      </c>
      <c r="I42" s="25">
        <v>23920</v>
      </c>
      <c r="J42" s="25">
        <v>28845</v>
      </c>
      <c r="K42" s="25">
        <v>32921</v>
      </c>
      <c r="L42" s="25">
        <v>37605</v>
      </c>
      <c r="M42" s="25">
        <v>39523</v>
      </c>
      <c r="N42" s="25">
        <v>41591</v>
      </c>
    </row>
    <row r="43" spans="2:15">
      <c r="B43" t="s">
        <v>42</v>
      </c>
      <c r="C43" s="25">
        <v>-1406</v>
      </c>
      <c r="D43" s="25">
        <v>-1475</v>
      </c>
      <c r="E43" s="25">
        <v>-1654</v>
      </c>
      <c r="F43" s="25">
        <v>-1743</v>
      </c>
      <c r="G43" s="25">
        <v>-1523</v>
      </c>
      <c r="H43" s="25">
        <v>-2881</v>
      </c>
      <c r="I43" s="25">
        <v>-3861</v>
      </c>
      <c r="J43" s="25">
        <v>-1835</v>
      </c>
      <c r="K43" s="25">
        <v>-7937</v>
      </c>
      <c r="L43" s="25">
        <v>-7076</v>
      </c>
      <c r="M43" s="25">
        <v>-2667</v>
      </c>
      <c r="N43" s="25">
        <v>-1769</v>
      </c>
    </row>
    <row r="44" spans="2:15">
      <c r="B44" t="s">
        <v>61</v>
      </c>
      <c r="C44">
        <v>0</v>
      </c>
      <c r="D44">
        <v>0</v>
      </c>
      <c r="E44">
        <v>242</v>
      </c>
      <c r="F44">
        <v>-19</v>
      </c>
      <c r="G44">
        <v>328</v>
      </c>
      <c r="H44">
        <v>916</v>
      </c>
      <c r="I44">
        <v>-373</v>
      </c>
      <c r="J44">
        <v>-245</v>
      </c>
      <c r="K44" s="25">
        <v>1489</v>
      </c>
      <c r="L44">
        <v>-279</v>
      </c>
      <c r="M44">
        <v>91</v>
      </c>
      <c r="N44">
        <v>176</v>
      </c>
    </row>
    <row r="45" spans="2:15">
      <c r="B45" t="s">
        <v>109</v>
      </c>
      <c r="C45" s="25">
        <v>-1060</v>
      </c>
      <c r="D45">
        <v>-221</v>
      </c>
      <c r="E45" s="25">
        <v>-1134</v>
      </c>
      <c r="F45">
        <v>0</v>
      </c>
      <c r="G45">
        <v>0</v>
      </c>
      <c r="H45">
        <v>0</v>
      </c>
      <c r="I45">
        <v>0</v>
      </c>
      <c r="J45">
        <v>-534</v>
      </c>
      <c r="K45" s="25">
        <v>-1914</v>
      </c>
      <c r="L45" s="25">
        <v>-3108</v>
      </c>
      <c r="M45" s="25">
        <v>-1172</v>
      </c>
      <c r="N45" s="25">
        <v>-1024</v>
      </c>
    </row>
    <row r="46" spans="2:15">
      <c r="B46" t="s">
        <v>62</v>
      </c>
      <c r="C46" s="25">
        <v>1993</v>
      </c>
      <c r="D46">
        <v>854</v>
      </c>
      <c r="E46">
        <v>600</v>
      </c>
      <c r="F46">
        <v>-394</v>
      </c>
      <c r="G46" s="25">
        <v>1279</v>
      </c>
      <c r="H46" s="25">
        <v>1512</v>
      </c>
      <c r="I46" s="25">
        <v>1867</v>
      </c>
      <c r="J46" s="25">
        <v>3382</v>
      </c>
      <c r="K46" s="25">
        <v>6938</v>
      </c>
      <c r="L46" s="25">
        <v>4119</v>
      </c>
      <c r="M46" s="25">
        <v>-1334</v>
      </c>
      <c r="N46" s="25">
        <v>2322</v>
      </c>
    </row>
    <row r="47" spans="2:15">
      <c r="B47" t="s">
        <v>63</v>
      </c>
      <c r="C47" s="31">
        <v>-473</v>
      </c>
      <c r="D47" s="31">
        <v>-842</v>
      </c>
      <c r="E47" s="32">
        <v>-1946</v>
      </c>
      <c r="F47" s="32">
        <v>-2156</v>
      </c>
      <c r="G47" s="31">
        <v>84</v>
      </c>
      <c r="H47" s="31">
        <v>-453</v>
      </c>
      <c r="I47" s="32">
        <v>-2367</v>
      </c>
      <c r="J47" s="31">
        <v>768</v>
      </c>
      <c r="K47" s="32">
        <v>-1424</v>
      </c>
      <c r="L47" s="32">
        <v>-6344</v>
      </c>
      <c r="M47" s="32">
        <v>-5082</v>
      </c>
      <c r="N47" s="31">
        <v>-295</v>
      </c>
    </row>
    <row r="48" spans="2:15">
      <c r="B48" t="s">
        <v>64</v>
      </c>
      <c r="C48" s="25">
        <v>-3874</v>
      </c>
      <c r="D48" s="25">
        <v>-6751</v>
      </c>
      <c r="E48" s="25">
        <v>-5865</v>
      </c>
      <c r="F48" s="25">
        <v>-5653</v>
      </c>
      <c r="G48" s="25">
        <v>-6829</v>
      </c>
      <c r="H48" s="25">
        <v>-6832</v>
      </c>
      <c r="I48" s="25">
        <v>-4550</v>
      </c>
      <c r="J48" s="25">
        <v>-6389</v>
      </c>
      <c r="K48" s="25">
        <v>-7612</v>
      </c>
      <c r="L48" s="25">
        <v>-8794</v>
      </c>
      <c r="M48" s="25">
        <v>-9231</v>
      </c>
      <c r="N48" s="25">
        <v>-5602</v>
      </c>
    </row>
    <row r="49" spans="2:14">
      <c r="B49" s="9" t="s">
        <v>110</v>
      </c>
      <c r="C49" s="30">
        <v>-2563</v>
      </c>
      <c r="D49" s="9">
        <v>999</v>
      </c>
      <c r="E49" s="9">
        <v>-885</v>
      </c>
      <c r="F49" s="30">
        <v>-14664</v>
      </c>
      <c r="G49" s="30">
        <v>4533</v>
      </c>
      <c r="H49" s="9">
        <v>-632</v>
      </c>
      <c r="I49" s="9">
        <v>-331</v>
      </c>
      <c r="J49" s="30">
        <v>-7373</v>
      </c>
      <c r="K49" s="30">
        <v>-6485</v>
      </c>
      <c r="L49" s="30">
        <v>-1071</v>
      </c>
      <c r="M49" s="30">
        <v>-5093</v>
      </c>
      <c r="N49" s="30">
        <v>-1864</v>
      </c>
    </row>
    <row r="50" spans="2:14">
      <c r="B50" t="s">
        <v>65</v>
      </c>
      <c r="C50" s="25">
        <v>-2748</v>
      </c>
      <c r="D50" s="25">
        <v>-2247</v>
      </c>
      <c r="E50" s="25">
        <v>-2723</v>
      </c>
      <c r="F50" s="25">
        <v>-2760</v>
      </c>
      <c r="G50" s="25">
        <v>-1998</v>
      </c>
      <c r="H50" s="25">
        <v>-2445</v>
      </c>
      <c r="I50" s="25">
        <v>-3307</v>
      </c>
      <c r="J50" s="25">
        <v>-2107</v>
      </c>
      <c r="K50" s="25">
        <v>-2161</v>
      </c>
      <c r="L50" s="25">
        <v>-2579</v>
      </c>
      <c r="M50" s="25">
        <v>-2201</v>
      </c>
      <c r="N50" s="25">
        <v>-2237</v>
      </c>
    </row>
    <row r="51" spans="2:14">
      <c r="B51" t="s">
        <v>66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2:14">
      <c r="B52" t="s">
        <v>67</v>
      </c>
      <c r="C52" s="25">
        <v>-25046</v>
      </c>
      <c r="D52" s="25">
        <v>-23923</v>
      </c>
      <c r="E52" s="25">
        <v>-24577</v>
      </c>
      <c r="F52" s="25">
        <v>-66410</v>
      </c>
      <c r="G52" s="25">
        <v>-69159</v>
      </c>
      <c r="H52" s="25">
        <v>-79410</v>
      </c>
      <c r="I52" s="25">
        <v>-37482</v>
      </c>
      <c r="J52" s="25">
        <v>-46738</v>
      </c>
      <c r="K52" s="25">
        <v>-59951</v>
      </c>
      <c r="L52" s="25">
        <v>-75800</v>
      </c>
      <c r="M52" s="25">
        <v>-78118</v>
      </c>
      <c r="N52" s="25">
        <v>-82753</v>
      </c>
    </row>
    <row r="53" spans="2:14">
      <c r="B53" t="s">
        <v>68</v>
      </c>
      <c r="C53" s="25">
        <v>22385</v>
      </c>
      <c r="D53" s="25">
        <v>25253</v>
      </c>
      <c r="E53" s="25">
        <v>24980</v>
      </c>
      <c r="F53" s="25">
        <v>52048</v>
      </c>
      <c r="G53" s="25">
        <v>74003</v>
      </c>
      <c r="H53" s="25">
        <v>78098</v>
      </c>
      <c r="I53" s="25">
        <v>38861</v>
      </c>
      <c r="J53" s="25">
        <v>40381</v>
      </c>
      <c r="K53" s="25">
        <v>57356</v>
      </c>
      <c r="L53" s="25">
        <v>76722</v>
      </c>
      <c r="M53" s="25">
        <v>72956</v>
      </c>
      <c r="N53" s="25">
        <v>84888</v>
      </c>
    </row>
    <row r="54" spans="2:14">
      <c r="B54" t="s">
        <v>69</v>
      </c>
      <c r="C54" s="25">
        <v>2379</v>
      </c>
      <c r="D54" s="25">
        <v>2551</v>
      </c>
      <c r="E54" s="25">
        <v>2383</v>
      </c>
      <c r="F54" s="25">
        <v>0</v>
      </c>
      <c r="G54">
        <v>0</v>
      </c>
      <c r="H54">
        <v>0</v>
      </c>
      <c r="I54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</row>
    <row r="55" spans="2:14">
      <c r="B55" t="s">
        <v>70</v>
      </c>
      <c r="C55">
        <v>0</v>
      </c>
      <c r="D55">
        <v>0</v>
      </c>
      <c r="E55">
        <v>0</v>
      </c>
      <c r="F55" s="25">
        <v>2753</v>
      </c>
      <c r="G55" s="25">
        <v>1768</v>
      </c>
      <c r="H55" s="25">
        <v>1557</v>
      </c>
      <c r="I55" s="25">
        <v>1929</v>
      </c>
      <c r="J55" s="25">
        <v>1418</v>
      </c>
      <c r="K55" s="25">
        <v>1898</v>
      </c>
      <c r="L55" s="25">
        <v>1525</v>
      </c>
      <c r="M55" s="25">
        <v>1768</v>
      </c>
      <c r="N55" s="25">
        <v>2040</v>
      </c>
    </row>
    <row r="56" spans="2:14">
      <c r="B56" t="s">
        <v>71</v>
      </c>
      <c r="C56" s="25">
        <v>0</v>
      </c>
      <c r="D56" s="25">
        <v>-1376</v>
      </c>
      <c r="E56" s="25">
        <v>-747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</row>
    <row r="57" spans="2:14">
      <c r="B57" t="s">
        <v>122</v>
      </c>
      <c r="C57" s="25">
        <v>0</v>
      </c>
      <c r="D57" s="25">
        <v>0</v>
      </c>
      <c r="E57" s="25">
        <v>-142</v>
      </c>
      <c r="F57" s="25">
        <v>-164</v>
      </c>
      <c r="G57" s="25">
        <v>-130</v>
      </c>
      <c r="H57" s="25">
        <v>-24</v>
      </c>
      <c r="I57" s="25">
        <v>-108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</row>
    <row r="58" spans="2:14">
      <c r="B58" t="s">
        <v>72</v>
      </c>
      <c r="C58">
        <v>464</v>
      </c>
      <c r="D58">
        <v>741</v>
      </c>
      <c r="E58">
        <v>-59</v>
      </c>
      <c r="F58">
        <v>-131</v>
      </c>
      <c r="G58">
        <v>49</v>
      </c>
      <c r="H58" s="25">
        <v>1592</v>
      </c>
      <c r="I58">
        <v>-224</v>
      </c>
      <c r="J58">
        <v>-327</v>
      </c>
      <c r="K58" s="25">
        <v>-3627</v>
      </c>
      <c r="L58">
        <v>-939</v>
      </c>
      <c r="M58">
        <v>502</v>
      </c>
      <c r="N58" s="25">
        <v>-3802</v>
      </c>
    </row>
    <row r="59" spans="2:14">
      <c r="B59" s="9" t="s">
        <v>111</v>
      </c>
      <c r="C59" s="30">
        <v>-3144</v>
      </c>
      <c r="D59" s="30">
        <v>-4935</v>
      </c>
      <c r="E59" s="30">
        <v>-6813</v>
      </c>
      <c r="F59" s="30">
        <v>-6939</v>
      </c>
      <c r="G59" s="30">
        <v>-20505</v>
      </c>
      <c r="H59" s="30">
        <v>-14512</v>
      </c>
      <c r="I59" s="30">
        <v>-17591</v>
      </c>
      <c r="J59" s="30">
        <v>-9786</v>
      </c>
      <c r="K59" s="30">
        <v>-24642</v>
      </c>
      <c r="L59" s="30">
        <v>-26695</v>
      </c>
      <c r="M59" s="30">
        <v>-17504</v>
      </c>
      <c r="N59" s="30">
        <v>-24161</v>
      </c>
    </row>
    <row r="60" spans="2:14">
      <c r="B60" t="s">
        <v>73</v>
      </c>
      <c r="C60">
        <v>0</v>
      </c>
      <c r="D60">
        <v>0</v>
      </c>
      <c r="E60">
        <v>0</v>
      </c>
      <c r="F60">
        <v>0</v>
      </c>
      <c r="G60">
        <v>5</v>
      </c>
      <c r="H60">
        <v>6</v>
      </c>
      <c r="I60">
        <v>6</v>
      </c>
      <c r="J60">
        <v>15</v>
      </c>
      <c r="K60">
        <v>21</v>
      </c>
      <c r="L60">
        <v>35</v>
      </c>
      <c r="M60">
        <v>5</v>
      </c>
      <c r="N60">
        <v>6</v>
      </c>
    </row>
    <row r="61" spans="2:14">
      <c r="B61" t="s">
        <v>74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-985</v>
      </c>
    </row>
    <row r="62" spans="2:14">
      <c r="B62" t="s">
        <v>75</v>
      </c>
      <c r="C62" s="25">
        <v>-3144</v>
      </c>
      <c r="D62" s="25">
        <v>-4935</v>
      </c>
      <c r="E62" s="25">
        <v>-6813</v>
      </c>
      <c r="F62" s="25">
        <v>-6939</v>
      </c>
      <c r="G62" s="25">
        <v>-7464</v>
      </c>
      <c r="H62" s="25">
        <v>-13705</v>
      </c>
      <c r="I62" s="25">
        <v>-9548</v>
      </c>
      <c r="J62" s="25">
        <v>-9137</v>
      </c>
      <c r="K62" s="25">
        <v>-12731</v>
      </c>
      <c r="L62" s="25">
        <v>-13653</v>
      </c>
      <c r="M62" s="25">
        <v>-14731</v>
      </c>
      <c r="N62" s="25">
        <v>-20289</v>
      </c>
    </row>
    <row r="63" spans="2:14">
      <c r="B63" t="s">
        <v>76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-571</v>
      </c>
      <c r="J63">
        <v>-698</v>
      </c>
      <c r="K63">
        <v>-915</v>
      </c>
      <c r="L63" s="25">
        <v>-1231</v>
      </c>
      <c r="M63" s="25">
        <v>-2024</v>
      </c>
      <c r="N63" s="25">
        <v>-2355</v>
      </c>
    </row>
    <row r="64" spans="2:14">
      <c r="B64" t="s">
        <v>77</v>
      </c>
      <c r="C64">
        <v>0</v>
      </c>
      <c r="D64">
        <v>0</v>
      </c>
      <c r="E64">
        <v>0</v>
      </c>
      <c r="F64">
        <v>0</v>
      </c>
      <c r="G64" s="25">
        <v>-13046</v>
      </c>
      <c r="H64">
        <v>-813</v>
      </c>
      <c r="I64" s="25">
        <v>-7478</v>
      </c>
      <c r="J64" s="25">
        <v>34</v>
      </c>
      <c r="K64" s="25">
        <v>-11017</v>
      </c>
      <c r="L64" s="25">
        <v>-11846</v>
      </c>
      <c r="M64" s="25">
        <v>-754</v>
      </c>
      <c r="N64" s="25">
        <v>-538</v>
      </c>
    </row>
    <row r="65" spans="2:14">
      <c r="B65" s="9" t="s">
        <v>20</v>
      </c>
      <c r="C65" s="30">
        <v>4118</v>
      </c>
      <c r="D65" s="30">
        <v>4417</v>
      </c>
      <c r="E65" s="30">
        <v>2330</v>
      </c>
      <c r="F65" s="30">
        <v>-10072</v>
      </c>
      <c r="G65" s="30">
        <v>-2754</v>
      </c>
      <c r="H65" s="30">
        <v>-303</v>
      </c>
      <c r="I65" s="30">
        <v>-919</v>
      </c>
      <c r="J65" s="30">
        <v>6065</v>
      </c>
      <c r="K65" s="30">
        <v>-7242</v>
      </c>
      <c r="L65" s="30">
        <v>-5299</v>
      </c>
      <c r="M65" s="30">
        <v>2613</v>
      </c>
      <c r="N65" s="30">
        <v>9669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E2A8-26AD-46EB-969E-EA0A7F02AF22}">
  <dimension ref="B2:N35"/>
  <sheetViews>
    <sheetView showGridLines="0" workbookViewId="0">
      <selection activeCell="D28" sqref="D28"/>
    </sheetView>
  </sheetViews>
  <sheetFormatPr defaultRowHeight="14.4"/>
  <cols>
    <col min="2" max="2" width="25.77734375" bestFit="1" customWidth="1"/>
    <col min="3" max="3" width="7" bestFit="1" customWidth="1"/>
    <col min="4" max="14" width="7.109375" bestFit="1" customWidth="1"/>
  </cols>
  <sheetData>
    <row r="2" spans="2:14">
      <c r="C2" s="11">
        <v>41699</v>
      </c>
      <c r="D2" s="11">
        <v>42064</v>
      </c>
      <c r="E2" s="11">
        <v>42430</v>
      </c>
      <c r="F2" s="11">
        <v>42795</v>
      </c>
      <c r="G2" s="11">
        <v>43160</v>
      </c>
      <c r="H2" s="11">
        <v>43525</v>
      </c>
      <c r="I2" s="11">
        <v>43891</v>
      </c>
      <c r="J2" s="11">
        <v>44256</v>
      </c>
      <c r="K2" s="11">
        <v>44621</v>
      </c>
      <c r="L2" s="11">
        <v>44986</v>
      </c>
      <c r="M2" s="11">
        <v>45352</v>
      </c>
      <c r="N2" s="11">
        <v>45717</v>
      </c>
    </row>
    <row r="3" spans="2:14">
      <c r="B3" s="9" t="s">
        <v>108</v>
      </c>
      <c r="C3" s="30">
        <f>C4+C9+C10</f>
        <v>9825</v>
      </c>
      <c r="D3" s="30">
        <f t="shared" ref="D3:N3" si="0">D4+D9+D10</f>
        <v>8353</v>
      </c>
      <c r="E3" s="30">
        <f t="shared" si="0"/>
        <v>10028</v>
      </c>
      <c r="F3" s="30">
        <f t="shared" si="0"/>
        <v>11531</v>
      </c>
      <c r="G3" s="30">
        <f t="shared" si="0"/>
        <v>13218</v>
      </c>
      <c r="H3" s="30">
        <f t="shared" si="0"/>
        <v>14841</v>
      </c>
      <c r="I3" s="30">
        <f t="shared" si="0"/>
        <v>17003</v>
      </c>
      <c r="J3" s="30">
        <f t="shared" si="0"/>
        <v>23224</v>
      </c>
      <c r="K3" s="30">
        <f t="shared" si="0"/>
        <v>23885</v>
      </c>
      <c r="L3" s="30">
        <f t="shared" si="0"/>
        <v>22467</v>
      </c>
      <c r="M3" s="30">
        <f t="shared" si="0"/>
        <v>25210</v>
      </c>
      <c r="N3" s="30">
        <f t="shared" si="0"/>
        <v>35694</v>
      </c>
    </row>
    <row r="4" spans="2:14">
      <c r="B4" t="s">
        <v>60</v>
      </c>
      <c r="C4" s="25">
        <v>14172</v>
      </c>
      <c r="D4" s="25">
        <v>15946</v>
      </c>
      <c r="E4" s="25">
        <v>17839</v>
      </c>
      <c r="F4" s="25">
        <v>19340</v>
      </c>
      <c r="G4" s="25">
        <v>19963</v>
      </c>
      <c r="H4" s="25">
        <v>22126</v>
      </c>
      <c r="I4" s="25">
        <v>23920</v>
      </c>
      <c r="J4" s="25">
        <v>28845</v>
      </c>
      <c r="K4" s="25">
        <v>32921</v>
      </c>
      <c r="L4" s="25">
        <v>37605</v>
      </c>
      <c r="M4" s="25">
        <v>39523</v>
      </c>
      <c r="N4" s="25">
        <v>41591</v>
      </c>
    </row>
    <row r="5" spans="2:14">
      <c r="B5" t="s">
        <v>42</v>
      </c>
      <c r="C5" s="25">
        <v>-1406</v>
      </c>
      <c r="D5" s="25">
        <v>-1475</v>
      </c>
      <c r="E5" s="25">
        <v>-1654</v>
      </c>
      <c r="F5" s="25">
        <v>-1743</v>
      </c>
      <c r="G5" s="25">
        <v>-1523</v>
      </c>
      <c r="H5" s="25">
        <v>-2881</v>
      </c>
      <c r="I5" s="25">
        <v>-3861</v>
      </c>
      <c r="J5" s="25">
        <v>-1835</v>
      </c>
      <c r="K5" s="25">
        <v>-7937</v>
      </c>
      <c r="L5" s="25">
        <v>-7076</v>
      </c>
      <c r="M5" s="25">
        <v>-2667</v>
      </c>
      <c r="N5" s="25">
        <v>-1769</v>
      </c>
    </row>
    <row r="6" spans="2:14">
      <c r="B6" t="s">
        <v>61</v>
      </c>
      <c r="C6">
        <v>0</v>
      </c>
      <c r="D6">
        <v>0</v>
      </c>
      <c r="E6">
        <v>242</v>
      </c>
      <c r="F6">
        <v>-19</v>
      </c>
      <c r="G6">
        <v>328</v>
      </c>
      <c r="H6">
        <v>916</v>
      </c>
      <c r="I6">
        <v>-373</v>
      </c>
      <c r="J6">
        <v>-245</v>
      </c>
      <c r="K6" s="25">
        <v>1489</v>
      </c>
      <c r="L6">
        <v>-279</v>
      </c>
      <c r="M6">
        <v>91</v>
      </c>
      <c r="N6">
        <v>176</v>
      </c>
    </row>
    <row r="7" spans="2:14">
      <c r="B7" t="s">
        <v>109</v>
      </c>
      <c r="C7" s="25">
        <v>-1060</v>
      </c>
      <c r="D7">
        <v>-221</v>
      </c>
      <c r="E7" s="25">
        <v>-1134</v>
      </c>
      <c r="F7">
        <v>0</v>
      </c>
      <c r="G7">
        <v>0</v>
      </c>
      <c r="H7">
        <v>0</v>
      </c>
      <c r="I7">
        <v>0</v>
      </c>
      <c r="J7">
        <v>-534</v>
      </c>
      <c r="K7" s="25">
        <v>-1914</v>
      </c>
      <c r="L7" s="25">
        <v>-3108</v>
      </c>
      <c r="M7" s="25">
        <v>-1172</v>
      </c>
      <c r="N7" s="25">
        <v>-1024</v>
      </c>
    </row>
    <row r="8" spans="2:14">
      <c r="B8" t="s">
        <v>62</v>
      </c>
      <c r="C8" s="25">
        <v>1993</v>
      </c>
      <c r="D8">
        <v>854</v>
      </c>
      <c r="E8">
        <v>600</v>
      </c>
      <c r="F8">
        <v>-394</v>
      </c>
      <c r="G8" s="25">
        <v>1279</v>
      </c>
      <c r="H8" s="25">
        <v>1512</v>
      </c>
      <c r="I8" s="25">
        <v>1867</v>
      </c>
      <c r="J8" s="25">
        <v>3382</v>
      </c>
      <c r="K8" s="25">
        <v>6938</v>
      </c>
      <c r="L8" s="25">
        <v>4119</v>
      </c>
      <c r="M8" s="25">
        <v>-1334</v>
      </c>
      <c r="N8" s="25">
        <v>2322</v>
      </c>
    </row>
    <row r="9" spans="2:14">
      <c r="B9" t="s">
        <v>63</v>
      </c>
      <c r="C9" s="31">
        <v>-473</v>
      </c>
      <c r="D9" s="31">
        <v>-842</v>
      </c>
      <c r="E9" s="32">
        <v>-1946</v>
      </c>
      <c r="F9" s="32">
        <v>-2156</v>
      </c>
      <c r="G9" s="31">
        <v>84</v>
      </c>
      <c r="H9" s="31">
        <v>-453</v>
      </c>
      <c r="I9" s="32">
        <v>-2367</v>
      </c>
      <c r="J9" s="31">
        <v>768</v>
      </c>
      <c r="K9" s="32">
        <v>-1424</v>
      </c>
      <c r="L9" s="32">
        <v>-6344</v>
      </c>
      <c r="M9" s="32">
        <v>-5082</v>
      </c>
      <c r="N9" s="31">
        <v>-295</v>
      </c>
    </row>
    <row r="10" spans="2:14">
      <c r="B10" t="s">
        <v>64</v>
      </c>
      <c r="C10" s="25">
        <v>-3874</v>
      </c>
      <c r="D10" s="25">
        <v>-6751</v>
      </c>
      <c r="E10" s="25">
        <v>-5865</v>
      </c>
      <c r="F10" s="25">
        <v>-5653</v>
      </c>
      <c r="G10" s="25">
        <v>-6829</v>
      </c>
      <c r="H10" s="25">
        <v>-6832</v>
      </c>
      <c r="I10" s="25">
        <v>-4550</v>
      </c>
      <c r="J10" s="25">
        <v>-6389</v>
      </c>
      <c r="K10" s="25">
        <v>-7612</v>
      </c>
      <c r="L10" s="25">
        <v>-8794</v>
      </c>
      <c r="M10" s="25">
        <v>-9231</v>
      </c>
      <c r="N10" s="25">
        <v>-5602</v>
      </c>
    </row>
    <row r="11" spans="2:14">
      <c r="B11" s="9" t="s">
        <v>110</v>
      </c>
      <c r="C11" s="30">
        <v>-2563</v>
      </c>
      <c r="D11" s="9">
        <v>999</v>
      </c>
      <c r="E11" s="9">
        <v>-885</v>
      </c>
      <c r="F11" s="30">
        <v>-14664</v>
      </c>
      <c r="G11" s="30">
        <v>4533</v>
      </c>
      <c r="H11" s="9">
        <v>-632</v>
      </c>
      <c r="I11" s="9">
        <v>-331</v>
      </c>
      <c r="J11" s="30">
        <v>-7373</v>
      </c>
      <c r="K11" s="30">
        <v>-6485</v>
      </c>
      <c r="L11" s="30">
        <v>-1071</v>
      </c>
      <c r="M11" s="30">
        <v>-5093</v>
      </c>
      <c r="N11" s="30">
        <v>-1864</v>
      </c>
    </row>
    <row r="12" spans="2:14">
      <c r="B12" t="s">
        <v>65</v>
      </c>
      <c r="C12" s="25">
        <v>-2748</v>
      </c>
      <c r="D12" s="25">
        <v>-2247</v>
      </c>
      <c r="E12" s="25">
        <v>-2723</v>
      </c>
      <c r="F12" s="25">
        <v>-2760</v>
      </c>
      <c r="G12" s="25">
        <v>-1998</v>
      </c>
      <c r="H12" s="25">
        <v>-2445</v>
      </c>
      <c r="I12" s="25">
        <v>-3307</v>
      </c>
      <c r="J12" s="25">
        <v>-2107</v>
      </c>
      <c r="K12" s="25">
        <v>-2161</v>
      </c>
      <c r="L12" s="25">
        <v>-2579</v>
      </c>
      <c r="M12" s="25">
        <v>-2201</v>
      </c>
      <c r="N12" s="25">
        <v>-2237</v>
      </c>
    </row>
    <row r="13" spans="2:14">
      <c r="B13" t="s">
        <v>66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2:14">
      <c r="B14" t="s">
        <v>67</v>
      </c>
      <c r="C14" s="25">
        <v>-25046</v>
      </c>
      <c r="D14" s="25">
        <v>-23923</v>
      </c>
      <c r="E14" s="25">
        <v>-24577</v>
      </c>
      <c r="F14" s="25">
        <v>-66410</v>
      </c>
      <c r="G14" s="25">
        <v>-69159</v>
      </c>
      <c r="H14" s="25">
        <v>-79410</v>
      </c>
      <c r="I14" s="25">
        <v>-37482</v>
      </c>
      <c r="J14" s="25">
        <v>-46738</v>
      </c>
      <c r="K14" s="25">
        <v>-59951</v>
      </c>
      <c r="L14" s="25">
        <v>-75800</v>
      </c>
      <c r="M14" s="25">
        <v>-78118</v>
      </c>
      <c r="N14" s="25">
        <v>-82753</v>
      </c>
    </row>
    <row r="15" spans="2:14">
      <c r="B15" t="s">
        <v>68</v>
      </c>
      <c r="C15" s="25">
        <v>22385</v>
      </c>
      <c r="D15" s="25">
        <v>25253</v>
      </c>
      <c r="E15" s="25">
        <v>24980</v>
      </c>
      <c r="F15" s="25">
        <v>52048</v>
      </c>
      <c r="G15" s="25">
        <v>74003</v>
      </c>
      <c r="H15" s="25">
        <v>78098</v>
      </c>
      <c r="I15" s="25">
        <v>38861</v>
      </c>
      <c r="J15" s="25">
        <v>40381</v>
      </c>
      <c r="K15" s="25">
        <v>57356</v>
      </c>
      <c r="L15" s="25">
        <v>76722</v>
      </c>
      <c r="M15" s="25">
        <v>72956</v>
      </c>
      <c r="N15" s="25">
        <v>84888</v>
      </c>
    </row>
    <row r="16" spans="2:14">
      <c r="B16" t="s">
        <v>69</v>
      </c>
      <c r="C16" s="25">
        <v>2379</v>
      </c>
      <c r="D16" s="25">
        <v>2551</v>
      </c>
      <c r="E16" s="25">
        <v>2383</v>
      </c>
      <c r="F16" s="25">
        <v>0</v>
      </c>
      <c r="G16">
        <v>0</v>
      </c>
      <c r="H16">
        <v>0</v>
      </c>
      <c r="I16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</row>
    <row r="17" spans="2:14">
      <c r="B17" t="s">
        <v>70</v>
      </c>
      <c r="C17">
        <v>0</v>
      </c>
      <c r="D17">
        <v>0</v>
      </c>
      <c r="E17">
        <v>0</v>
      </c>
      <c r="F17" s="25">
        <v>2753</v>
      </c>
      <c r="G17" s="25">
        <v>1768</v>
      </c>
      <c r="H17" s="25">
        <v>1557</v>
      </c>
      <c r="I17" s="25">
        <v>1929</v>
      </c>
      <c r="J17" s="25">
        <v>1418</v>
      </c>
      <c r="K17" s="25">
        <v>1898</v>
      </c>
      <c r="L17" s="25">
        <v>1525</v>
      </c>
      <c r="M17" s="25">
        <v>1768</v>
      </c>
      <c r="N17" s="25">
        <v>2040</v>
      </c>
    </row>
    <row r="18" spans="2:14">
      <c r="B18" t="s">
        <v>71</v>
      </c>
      <c r="C18" s="25">
        <v>0</v>
      </c>
      <c r="D18" s="25">
        <v>-1376</v>
      </c>
      <c r="E18" s="25">
        <v>-747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</row>
    <row r="19" spans="2:14">
      <c r="B19" t="s">
        <v>122</v>
      </c>
      <c r="C19" s="25">
        <v>0</v>
      </c>
      <c r="D19" s="25">
        <v>0</v>
      </c>
      <c r="E19" s="25">
        <v>-142</v>
      </c>
      <c r="F19" s="25">
        <v>-164</v>
      </c>
      <c r="G19" s="25">
        <v>-130</v>
      </c>
      <c r="H19" s="25">
        <v>-24</v>
      </c>
      <c r="I19" s="25">
        <v>-108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</row>
    <row r="20" spans="2:14">
      <c r="B20" t="s">
        <v>72</v>
      </c>
      <c r="C20">
        <v>464</v>
      </c>
      <c r="D20">
        <v>741</v>
      </c>
      <c r="E20">
        <v>-59</v>
      </c>
      <c r="F20">
        <v>-131</v>
      </c>
      <c r="G20">
        <v>49</v>
      </c>
      <c r="H20" s="25">
        <v>1592</v>
      </c>
      <c r="I20">
        <v>-224</v>
      </c>
      <c r="J20">
        <v>-327</v>
      </c>
      <c r="K20" s="25">
        <v>-3627</v>
      </c>
      <c r="L20">
        <v>-939</v>
      </c>
      <c r="M20">
        <v>502</v>
      </c>
      <c r="N20" s="25">
        <v>-3802</v>
      </c>
    </row>
    <row r="21" spans="2:14">
      <c r="B21" s="9" t="s">
        <v>111</v>
      </c>
      <c r="C21" s="30">
        <v>-3144</v>
      </c>
      <c r="D21" s="30">
        <v>-4935</v>
      </c>
      <c r="E21" s="30">
        <v>-6813</v>
      </c>
      <c r="F21" s="30">
        <v>-6939</v>
      </c>
      <c r="G21" s="30">
        <v>-20505</v>
      </c>
      <c r="H21" s="30">
        <v>-14512</v>
      </c>
      <c r="I21" s="30">
        <v>-17591</v>
      </c>
      <c r="J21" s="30">
        <v>-9786</v>
      </c>
      <c r="K21" s="30">
        <v>-24642</v>
      </c>
      <c r="L21" s="30">
        <v>-26695</v>
      </c>
      <c r="M21" s="30">
        <v>-17504</v>
      </c>
      <c r="N21" s="30">
        <v>-24161</v>
      </c>
    </row>
    <row r="22" spans="2:14">
      <c r="B22" t="s">
        <v>73</v>
      </c>
      <c r="C22">
        <v>0</v>
      </c>
      <c r="D22">
        <v>0</v>
      </c>
      <c r="E22">
        <v>0</v>
      </c>
      <c r="F22">
        <v>0</v>
      </c>
      <c r="G22">
        <v>5</v>
      </c>
      <c r="H22">
        <v>6</v>
      </c>
      <c r="I22">
        <v>6</v>
      </c>
      <c r="J22">
        <v>15</v>
      </c>
      <c r="K22">
        <v>21</v>
      </c>
      <c r="L22">
        <v>35</v>
      </c>
      <c r="M22">
        <v>5</v>
      </c>
      <c r="N22">
        <v>6</v>
      </c>
    </row>
    <row r="23" spans="2:14"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-985</v>
      </c>
    </row>
    <row r="24" spans="2:14">
      <c r="B24" t="s">
        <v>75</v>
      </c>
      <c r="C24" s="25">
        <v>-3144</v>
      </c>
      <c r="D24" s="25">
        <v>-4935</v>
      </c>
      <c r="E24" s="25">
        <v>-6813</v>
      </c>
      <c r="F24" s="25">
        <v>-6939</v>
      </c>
      <c r="G24" s="25">
        <v>-7464</v>
      </c>
      <c r="H24" s="25">
        <v>-13705</v>
      </c>
      <c r="I24" s="25">
        <v>-9548</v>
      </c>
      <c r="J24" s="25">
        <v>-9137</v>
      </c>
      <c r="K24" s="25">
        <v>-12731</v>
      </c>
      <c r="L24" s="25">
        <v>-13653</v>
      </c>
      <c r="M24" s="25">
        <v>-14731</v>
      </c>
      <c r="N24" s="25">
        <v>-20289</v>
      </c>
    </row>
    <row r="25" spans="2:14">
      <c r="B25" t="s">
        <v>76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-571</v>
      </c>
      <c r="J25">
        <v>-698</v>
      </c>
      <c r="K25">
        <v>-915</v>
      </c>
      <c r="L25" s="25">
        <v>-1231</v>
      </c>
      <c r="M25" s="25">
        <v>-2024</v>
      </c>
      <c r="N25" s="25">
        <v>-2355</v>
      </c>
    </row>
    <row r="26" spans="2:14">
      <c r="B26" t="s">
        <v>77</v>
      </c>
      <c r="C26">
        <v>0</v>
      </c>
      <c r="D26">
        <v>0</v>
      </c>
      <c r="E26">
        <v>0</v>
      </c>
      <c r="F26">
        <v>0</v>
      </c>
      <c r="G26" s="25">
        <v>-13046</v>
      </c>
      <c r="H26">
        <v>-813</v>
      </c>
      <c r="I26" s="25">
        <v>-7478</v>
      </c>
      <c r="J26" s="25">
        <v>34</v>
      </c>
      <c r="K26" s="25">
        <v>-11017</v>
      </c>
      <c r="L26" s="25">
        <v>-11846</v>
      </c>
      <c r="M26" s="25">
        <v>-754</v>
      </c>
      <c r="N26" s="25">
        <v>-538</v>
      </c>
    </row>
    <row r="27" spans="2:14">
      <c r="B27" t="s">
        <v>20</v>
      </c>
      <c r="C27" s="25">
        <v>4118</v>
      </c>
      <c r="D27" s="25">
        <v>4417</v>
      </c>
      <c r="E27" s="25">
        <v>2330</v>
      </c>
      <c r="F27" s="25">
        <v>-10072</v>
      </c>
      <c r="G27" s="25">
        <v>-2754</v>
      </c>
      <c r="H27" s="25">
        <v>-303</v>
      </c>
      <c r="I27" s="25">
        <v>-919</v>
      </c>
      <c r="J27" s="25">
        <v>6065</v>
      </c>
      <c r="K27" s="25">
        <v>-7242</v>
      </c>
      <c r="L27" s="25">
        <v>-5299</v>
      </c>
      <c r="M27" s="25">
        <v>2613</v>
      </c>
      <c r="N27" s="25">
        <v>9669</v>
      </c>
    </row>
    <row r="32" spans="2:14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4" spans="9:14">
      <c r="I34" s="25"/>
    </row>
    <row r="35" spans="9:14">
      <c r="I35" s="25"/>
      <c r="J35" s="25"/>
      <c r="N3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Summary</vt:lpstr>
      <vt:lpstr>Assumptions</vt:lpstr>
      <vt:lpstr>DCF&gt;</vt:lpstr>
      <vt:lpstr>WACC</vt:lpstr>
      <vt:lpstr>Data&gt;</vt:lpstr>
      <vt:lpstr>Beta Regression</vt:lpstr>
      <vt:lpstr>Beta Comps</vt:lpstr>
      <vt:lpstr>Rm</vt:lpstr>
      <vt:lpstr>Intrinsic Growth</vt:lpstr>
      <vt:lpstr>DCF</vt:lpstr>
      <vt:lpstr>Data Room&gt;</vt:lpstr>
      <vt:lpstr>Data Sheet</vt:lpstr>
      <vt:lpstr>HistoricalFS</vt:lpstr>
      <vt:lpstr>Raw FS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Arjit Uttam</cp:lastModifiedBy>
  <cp:lastPrinted>2026-03-16T17:22:30Z</cp:lastPrinted>
  <dcterms:created xsi:type="dcterms:W3CDTF">2012-08-17T09:55:37Z</dcterms:created>
  <dcterms:modified xsi:type="dcterms:W3CDTF">2026-03-17T07:06:53Z</dcterms:modified>
</cp:coreProperties>
</file>